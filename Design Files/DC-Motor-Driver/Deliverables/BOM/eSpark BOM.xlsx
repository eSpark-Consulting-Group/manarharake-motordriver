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manarharake-motordriver\Design Files\DC-Motor-Driver\Deliverables\BOM\"/>
    </mc:Choice>
  </mc:AlternateContent>
  <bookViews>
    <workbookView xWindow="0" yWindow="0" windowWidth="23040" windowHeight="9150"/>
  </bookViews>
  <sheets>
    <sheet name="5 Boards" sheetId="1" r:id="rId1"/>
    <sheet name="10 Boards" sheetId="2" r:id="rId2"/>
  </sheets>
  <calcPr calcId="162913"/>
</workbook>
</file>

<file path=xl/calcChain.xml><?xml version="1.0" encoding="utf-8"?>
<calcChain xmlns="http://schemas.openxmlformats.org/spreadsheetml/2006/main">
  <c r="Q72" i="2" l="1"/>
  <c r="Q72" i="1"/>
  <c r="M57" i="2"/>
  <c r="Q57" i="2"/>
  <c r="B57" i="2"/>
  <c r="M31" i="2"/>
  <c r="Q31" i="2"/>
  <c r="B31" i="2"/>
  <c r="M27" i="2"/>
  <c r="Q27" i="2"/>
  <c r="B27" i="2"/>
  <c r="Q57" i="1"/>
  <c r="Q31" i="1"/>
  <c r="M31" i="1"/>
  <c r="M57" i="1"/>
  <c r="B57" i="1"/>
  <c r="B31" i="1"/>
  <c r="M71" i="1" l="1"/>
  <c r="M69" i="2"/>
  <c r="M70" i="2"/>
  <c r="M71" i="2"/>
  <c r="B71" i="2"/>
  <c r="Q70" i="2"/>
  <c r="B70" i="2"/>
  <c r="Q69" i="2"/>
  <c r="B69" i="2"/>
  <c r="B71" i="1"/>
  <c r="Q70" i="1"/>
  <c r="M70" i="1"/>
  <c r="Q69" i="1"/>
  <c r="M69" i="1"/>
  <c r="B69" i="1"/>
  <c r="B70" i="1"/>
  <c r="Q68" i="2"/>
  <c r="M68" i="2"/>
  <c r="B68" i="2"/>
  <c r="Q67" i="2"/>
  <c r="M67" i="2"/>
  <c r="B67" i="2"/>
  <c r="Q66" i="2"/>
  <c r="M66" i="2"/>
  <c r="B66" i="2"/>
  <c r="Q65" i="2"/>
  <c r="M65" i="2"/>
  <c r="B65" i="2"/>
  <c r="Q64" i="2"/>
  <c r="M64" i="2"/>
  <c r="B64" i="2"/>
  <c r="Q63" i="2"/>
  <c r="M63" i="2"/>
  <c r="B63" i="2"/>
  <c r="Q62" i="2"/>
  <c r="M62" i="2"/>
  <c r="B62" i="2"/>
  <c r="Q61" i="2"/>
  <c r="M61" i="2"/>
  <c r="B61" i="2"/>
  <c r="Q60" i="2"/>
  <c r="M60" i="2"/>
  <c r="B60" i="2"/>
  <c r="Q59" i="2"/>
  <c r="M59" i="2"/>
  <c r="B59" i="2"/>
  <c r="Q58" i="2"/>
  <c r="M58" i="2"/>
  <c r="B58" i="2"/>
  <c r="Q56" i="2"/>
  <c r="M56" i="2"/>
  <c r="B56" i="2"/>
  <c r="Q55" i="2"/>
  <c r="M55" i="2"/>
  <c r="B55" i="2"/>
  <c r="Q54" i="2"/>
  <c r="M54" i="2"/>
  <c r="B54" i="2"/>
  <c r="Q53" i="2"/>
  <c r="M53" i="2"/>
  <c r="B53" i="2"/>
  <c r="Q52" i="2"/>
  <c r="M52" i="2"/>
  <c r="B52" i="2"/>
  <c r="Q51" i="2"/>
  <c r="M51" i="2"/>
  <c r="B51" i="2"/>
  <c r="Q50" i="2"/>
  <c r="M50" i="2"/>
  <c r="B50" i="2"/>
  <c r="Q49" i="2"/>
  <c r="M49" i="2"/>
  <c r="B49" i="2"/>
  <c r="Q48" i="2"/>
  <c r="M48" i="2"/>
  <c r="B48" i="2"/>
  <c r="Q47" i="2"/>
  <c r="M47" i="2"/>
  <c r="B47" i="2"/>
  <c r="Q46" i="2"/>
  <c r="M46" i="2"/>
  <c r="B46" i="2"/>
  <c r="Q45" i="2"/>
  <c r="M45" i="2"/>
  <c r="B45" i="2"/>
  <c r="M44" i="2"/>
  <c r="B44" i="2"/>
  <c r="Q43" i="2"/>
  <c r="M43" i="2"/>
  <c r="B43" i="2"/>
  <c r="Q42" i="2"/>
  <c r="M42" i="2"/>
  <c r="B42" i="2"/>
  <c r="Q41" i="2"/>
  <c r="M41" i="2"/>
  <c r="B41" i="2"/>
  <c r="Q40" i="2"/>
  <c r="M40" i="2"/>
  <c r="B40" i="2"/>
  <c r="Q39" i="2"/>
  <c r="M39" i="2"/>
  <c r="B39" i="2"/>
  <c r="Q38" i="2"/>
  <c r="M38" i="2"/>
  <c r="B38" i="2"/>
  <c r="Q37" i="2"/>
  <c r="M37" i="2"/>
  <c r="B37" i="2"/>
  <c r="Q36" i="2"/>
  <c r="M36" i="2"/>
  <c r="B36" i="2"/>
  <c r="M35" i="2"/>
  <c r="B35" i="2"/>
  <c r="M34" i="2"/>
  <c r="B34" i="2"/>
  <c r="Q33" i="2"/>
  <c r="M33" i="2"/>
  <c r="B33" i="2"/>
  <c r="Q32" i="2"/>
  <c r="M32" i="2"/>
  <c r="B32" i="2"/>
  <c r="Q30" i="2"/>
  <c r="M30" i="2"/>
  <c r="B30" i="2"/>
  <c r="Q29" i="2"/>
  <c r="M29" i="2"/>
  <c r="B29" i="2"/>
  <c r="Q28" i="2"/>
  <c r="M28" i="2"/>
  <c r="B28" i="2"/>
  <c r="Q26" i="2"/>
  <c r="M26" i="2"/>
  <c r="B26" i="2"/>
  <c r="Q25" i="2"/>
  <c r="M25" i="2"/>
  <c r="B25" i="2"/>
  <c r="Q24" i="2"/>
  <c r="M24" i="2"/>
  <c r="B24" i="2"/>
  <c r="Q23" i="2"/>
  <c r="M23" i="2"/>
  <c r="B23" i="2"/>
  <c r="Q22" i="2"/>
  <c r="M22" i="2"/>
  <c r="B22" i="2"/>
  <c r="Q21" i="2"/>
  <c r="M21" i="2"/>
  <c r="B21" i="2"/>
  <c r="Q20" i="2"/>
  <c r="M20" i="2"/>
  <c r="B20" i="2"/>
  <c r="Q19" i="2"/>
  <c r="M19" i="2"/>
  <c r="B19" i="2"/>
  <c r="Q18" i="2"/>
  <c r="M18" i="2"/>
  <c r="B18" i="2"/>
  <c r="Q17" i="2"/>
  <c r="M17" i="2"/>
  <c r="B17" i="2"/>
  <c r="Q16" i="2"/>
  <c r="M16" i="2"/>
  <c r="B16" i="2"/>
  <c r="Q15" i="2"/>
  <c r="M15" i="2"/>
  <c r="B15" i="2"/>
  <c r="Q14" i="2"/>
  <c r="M14" i="2"/>
  <c r="B14" i="2"/>
  <c r="Q13" i="2"/>
  <c r="M13" i="2"/>
  <c r="B13" i="2"/>
  <c r="Q12" i="2"/>
  <c r="M12" i="2"/>
  <c r="B12" i="2"/>
  <c r="Q11" i="2"/>
  <c r="M11" i="2"/>
  <c r="B11" i="2"/>
  <c r="Q10" i="2"/>
  <c r="M10" i="2"/>
  <c r="B10" i="2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M35" i="1"/>
  <c r="B35" i="1"/>
  <c r="M34" i="1"/>
  <c r="B34" i="1"/>
  <c r="Q33" i="1"/>
  <c r="M33" i="1"/>
  <c r="B33" i="1"/>
  <c r="Q32" i="1"/>
  <c r="M32" i="1"/>
  <c r="B32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73" i="2" l="1"/>
  <c r="Q73" i="1"/>
</calcChain>
</file>

<file path=xl/sharedStrings.xml><?xml version="1.0" encoding="utf-8"?>
<sst xmlns="http://schemas.openxmlformats.org/spreadsheetml/2006/main" count="1292" uniqueCount="386">
  <si>
    <t>Component list</t>
  </si>
  <si>
    <t>Bill of Materials for Project [DC-Motor-Driver-v1.0]</t>
  </si>
  <si>
    <t>Source Data From:</t>
  </si>
  <si>
    <t>DC-Motor-Driver-v1.0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</si>
  <si>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</si>
  <si>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</si>
  <si>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</si>
  <si>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</si>
  <si>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</si>
  <si>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</si>
  <si>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</si>
  <si>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</si>
  <si>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</si>
  <si>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</si>
  <si>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Alternate Part Number</t>
  </si>
  <si>
    <t>LCSC Part Number</t>
  </si>
  <si>
    <t>Value</t>
  </si>
  <si>
    <t>Quantity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</si>
  <si>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</si>
  <si>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</si>
  <si>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</si>
  <si>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</si>
  <si>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</si>
  <si>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</si>
  <si>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</si>
  <si>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Capacitor</t>
  </si>
  <si>
    <t>C1, C2, C11, C63</t>
  </si>
  <si>
    <t>CAP CER 1UF 16V X5R 0402</t>
  </si>
  <si>
    <t>Cap-0402</t>
  </si>
  <si>
    <t>CC0402KRX5R7BB105</t>
  </si>
  <si>
    <t>Yageo</t>
  </si>
  <si>
    <t>-</t>
  </si>
  <si>
    <t>C325464</t>
  </si>
  <si>
    <t>1uF</t>
  </si>
  <si>
    <t>LCSC</t>
  </si>
  <si>
    <t>C3, C5, C7, C9, C10, C23, C26, C27, C30, C31, C32, C33, C34, C35, C36, C37, C38, C45, C46</t>
  </si>
  <si>
    <t>CAP CER 0.22UF 25V X5R 0402</t>
  </si>
  <si>
    <t>CC0402KRX5R8BB224</t>
  </si>
  <si>
    <t>C326836</t>
  </si>
  <si>
    <t>0.22uF</t>
  </si>
  <si>
    <t>C4, C6, C8, C15, C18, C20, C22, C25, C29</t>
  </si>
  <si>
    <t>CAP CER 4.7UF 10V X5R 0402</t>
  </si>
  <si>
    <t>CC0402KRX5R6BB475</t>
  </si>
  <si>
    <t>C326586</t>
  </si>
  <si>
    <t>4.7uF</t>
  </si>
  <si>
    <t>C12, C13, C14, C16, C17, C19, C21, C47, C58, C59</t>
  </si>
  <si>
    <t>CAP CER 0.1UF 25V X5R 0402</t>
  </si>
  <si>
    <t>CC0402KRX5R8BB104</t>
  </si>
  <si>
    <t>C106256</t>
  </si>
  <si>
    <t>0.1uF</t>
  </si>
  <si>
    <t>C24, C28, C61, C62</t>
  </si>
  <si>
    <t>CAP CER 22UF 10V X5R 0603</t>
  </si>
  <si>
    <t>Cap-0603</t>
  </si>
  <si>
    <t>CC0603MRX5R6BB226</t>
  </si>
  <si>
    <t>C109447</t>
  </si>
  <si>
    <t>22uF</t>
  </si>
  <si>
    <t>C39, C40, C42, C43</t>
  </si>
  <si>
    <t>CAP CER 12PF 50V C0G/NP0 0402</t>
  </si>
  <si>
    <t>GJM1555C1H120GB01D</t>
  </si>
  <si>
    <t>Murata</t>
  </si>
  <si>
    <t>C161305</t>
  </si>
  <si>
    <t>12pF</t>
  </si>
  <si>
    <t>C41</t>
  </si>
  <si>
    <t>10V 33uF X5R ±20% 1206 ROHS</t>
  </si>
  <si>
    <t>Cap-1206</t>
  </si>
  <si>
    <t>C3216X5R1A336MTJ00N</t>
  </si>
  <si>
    <t>TDK</t>
  </si>
  <si>
    <t>C342606</t>
  </si>
  <si>
    <t>33uF</t>
  </si>
  <si>
    <t>C44, C48, C60</t>
  </si>
  <si>
    <t>CAP CER 10UF 25V X5R 0603</t>
  </si>
  <si>
    <t>CL10A106MA8NRNC</t>
  </si>
  <si>
    <t>Samsung</t>
  </si>
  <si>
    <t>C96446</t>
  </si>
  <si>
    <t>10uF</t>
  </si>
  <si>
    <t>C49, C50, C51</t>
  </si>
  <si>
    <t>CAP TANT 10UF 10% 16V 1206</t>
  </si>
  <si>
    <t>Case-A</t>
  </si>
  <si>
    <t>T491A106K016AT</t>
  </si>
  <si>
    <t>KEMET</t>
  </si>
  <si>
    <t>C110055</t>
  </si>
  <si>
    <t>C52, C53, C54</t>
  </si>
  <si>
    <t>CAP CER 10000PF 25V X5R 0402</t>
  </si>
  <si>
    <t>CC0402KRX5R8BB103</t>
  </si>
  <si>
    <t>C576726</t>
  </si>
  <si>
    <t>0.01uF</t>
  </si>
  <si>
    <t>C55, C56, C57</t>
  </si>
  <si>
    <t>CAP CER 2.2UF 25V X5R 0603</t>
  </si>
  <si>
    <t>CAP-0603</t>
  </si>
  <si>
    <t>CC0603KRX5R8BB225</t>
  </si>
  <si>
    <t>C309478</t>
  </si>
  <si>
    <t>2.2uF</t>
  </si>
  <si>
    <t>C64</t>
  </si>
  <si>
    <t>CAP CER 1000PF 25V C0G/NPO 0603</t>
  </si>
  <si>
    <t>CC0603JRNPO8BN102</t>
  </si>
  <si>
    <t>C309470</t>
  </si>
  <si>
    <t>1nF</t>
  </si>
  <si>
    <t>C65</t>
  </si>
  <si>
    <t>CAP CER, 4.7 µF, 25 V, 0603</t>
  </si>
  <si>
    <t>C1608X5R1E475KT000E</t>
  </si>
  <si>
    <t>C76615</t>
  </si>
  <si>
    <t>C66</t>
  </si>
  <si>
    <t>CAP CER 47uF 25V 1210</t>
  </si>
  <si>
    <t>Cap-1210</t>
  </si>
  <si>
    <t>TMK325ABJ476MM-P</t>
  </si>
  <si>
    <t>Taiyo Yuden</t>
  </si>
  <si>
    <t>C90142</t>
  </si>
  <si>
    <t>47uF</t>
  </si>
  <si>
    <t>C67</t>
  </si>
  <si>
    <t>CAP CER 2200PF 50V X7R 0603</t>
  </si>
  <si>
    <t>CC0603KRX7R9BB222</t>
  </si>
  <si>
    <t>C107082</t>
  </si>
  <si>
    <t>2.2nF</t>
  </si>
  <si>
    <t>C68</t>
  </si>
  <si>
    <t>CAP CER 33PF 25V C0G/NP0 0402</t>
  </si>
  <si>
    <t>GRM1555C1E330JA01D</t>
  </si>
  <si>
    <t>C441758</t>
  </si>
  <si>
    <t>33pF</t>
  </si>
  <si>
    <t>C69</t>
  </si>
  <si>
    <t>25V 22nF X7R 0603 Multilayer Ceramic Capacitors MLCC - SMD/SMT ROHS</t>
  </si>
  <si>
    <t>FN18X223K250PSG</t>
  </si>
  <si>
    <t>PSA</t>
  </si>
  <si>
    <t>C2929161</t>
  </si>
  <si>
    <t>22nF</t>
  </si>
  <si>
    <t>Diode</t>
  </si>
  <si>
    <t>ON Semiconductor / Fairchild</t>
  </si>
  <si>
    <t>D2, D5</t>
  </si>
  <si>
    <t>Schottky Barrier Diode SK36, DO-214AB, 3A/60V</t>
  </si>
  <si>
    <t>SMA</t>
  </si>
  <si>
    <t>SS36</t>
  </si>
  <si>
    <t>C16015</t>
  </si>
  <si>
    <t>D3</t>
  </si>
  <si>
    <t>16A 20V 7V 5V@Max Unidirectional SOT-23 TVS ROHS</t>
  </si>
  <si>
    <t>Sot-23</t>
  </si>
  <si>
    <t>ESD5302F-3/TR</t>
  </si>
  <si>
    <t>WILLSEMI</t>
  </si>
  <si>
    <t>C239643</t>
  </si>
  <si>
    <t>D4</t>
  </si>
  <si>
    <t>TVS DIODE 5VWM 6.3VC DSN0603-2</t>
  </si>
  <si>
    <t>DSN0603-2</t>
  </si>
  <si>
    <t>PESD5V0H1BSFYL</t>
  </si>
  <si>
    <t>Nexperia</t>
  </si>
  <si>
    <t>C477989</t>
  </si>
  <si>
    <t>Fuse</t>
  </si>
  <si>
    <t>F1</t>
  </si>
  <si>
    <t>6V 500mA 40A 1A 0603 Resettable Fuses ROHS</t>
  </si>
  <si>
    <t>Fuse-0603</t>
  </si>
  <si>
    <t>SMD0603-050</t>
  </si>
  <si>
    <t>TECHFUSE</t>
  </si>
  <si>
    <t>C69679</t>
  </si>
  <si>
    <t>Ferrite Bead</t>
  </si>
  <si>
    <t>FB1, FB2</t>
  </si>
  <si>
    <t>FERRITE BEAD 120 OHM 0402 1LN</t>
  </si>
  <si>
    <t>IND-0402</t>
  </si>
  <si>
    <t>BLM15PD121SN1D</t>
  </si>
  <si>
    <t>C76891</t>
  </si>
  <si>
    <t>SMD Pad</t>
  </si>
  <si>
    <t>J1, J2, J3, J4, J5, J6</t>
  </si>
  <si>
    <t>SMD PADS (1x8) 2.54mm</t>
  </si>
  <si>
    <t>DNP</t>
  </si>
  <si>
    <t>DO NOT PLACE</t>
  </si>
  <si>
    <t>Through Hole Pads</t>
  </si>
  <si>
    <t>J7</t>
  </si>
  <si>
    <t>3.96mm Pitch Through Hole Pads 2</t>
  </si>
  <si>
    <t>Through Hole Pads 2</t>
  </si>
  <si>
    <t>USB B Connector</t>
  </si>
  <si>
    <t>J8</t>
  </si>
  <si>
    <t>CONN RCPT USB2.0 MICRO B SMD R/A</t>
  </si>
  <si>
    <t>Custom</t>
  </si>
  <si>
    <t>10118194-0001LF</t>
  </si>
  <si>
    <t>Amphenol FCI</t>
  </si>
  <si>
    <t>C132563</t>
  </si>
  <si>
    <t>Battery Connector</t>
  </si>
  <si>
    <t>J9</t>
  </si>
  <si>
    <t>Battery button CR2032 SMD Battery Connectors ROHS</t>
  </si>
  <si>
    <t>MY-2032-10-R</t>
  </si>
  <si>
    <t>MYOUNG</t>
  </si>
  <si>
    <t>C964828</t>
  </si>
  <si>
    <t>Male Header</t>
  </si>
  <si>
    <t>J10</t>
  </si>
  <si>
    <t>CONN HEADER VERT 2POS 2.54MM</t>
  </si>
  <si>
    <t>HDR1X2_</t>
  </si>
  <si>
    <t>TE Connectivity</t>
  </si>
  <si>
    <t>C86471</t>
  </si>
  <si>
    <t>Inductor</t>
  </si>
  <si>
    <t>L1</t>
  </si>
  <si>
    <t>FIXED IND 4.7UH 1.6A 157MOHM SMD</t>
  </si>
  <si>
    <t>IND-1210</t>
  </si>
  <si>
    <t>DFE322512F-4R7M=P2</t>
  </si>
  <si>
    <t>C703083</t>
  </si>
  <si>
    <t>4.7uH</t>
  </si>
  <si>
    <t>L2</t>
  </si>
  <si>
    <t>FIXED IND 3.9UH 2.5A 56MOHM SMD</t>
  </si>
  <si>
    <t>SWPA5020S3R9NT</t>
  </si>
  <si>
    <t>Sunlord</t>
  </si>
  <si>
    <t>C115009</t>
  </si>
  <si>
    <t>3.9uH</t>
  </si>
  <si>
    <t>L3</t>
  </si>
  <si>
    <t>5.5A 2.2uH ±20% 7.5A SMD,5.2x5.4x3mm Power Inductors ROHS</t>
  </si>
  <si>
    <t>PSPMAA0503-2R2M-ANP</t>
  </si>
  <si>
    <t>PROD Tech</t>
  </si>
  <si>
    <t>C436533</t>
  </si>
  <si>
    <t>2.2uH</t>
  </si>
  <si>
    <t>LED</t>
  </si>
  <si>
    <t>LED1</t>
  </si>
  <si>
    <t>RED LED 0603 Light Emitting Diodes</t>
  </si>
  <si>
    <t>LED-0603</t>
  </si>
  <si>
    <t>NCD0603R3</t>
  </si>
  <si>
    <t>Foshan NationStar Optoelectronics</t>
  </si>
  <si>
    <t>C3151730</t>
  </si>
  <si>
    <t>LED2</t>
  </si>
  <si>
    <t>Colorless transparence -30℃~+85℃ 601nm~603nm Positive post Orange 120° 55mW 0805 Light Emitting Diodes (LED) ROHS</t>
  </si>
  <si>
    <t>LED-0805</t>
  </si>
  <si>
    <t>XL-2012UOC</t>
  </si>
  <si>
    <t>XINGLIGHT</t>
  </si>
  <si>
    <t>C965813</t>
  </si>
  <si>
    <t>Connector</t>
  </si>
  <si>
    <t>P1</t>
  </si>
  <si>
    <t>SMD PADS (1x10) 2.54mm</t>
  </si>
  <si>
    <t>Mosfet</t>
  </si>
  <si>
    <t>Q1</t>
  </si>
  <si>
    <t>30V 4.1A 60mΩ@10V,4.1A 350mW 3V@250uA P Channel SOT-23 MOSFETs ROHS</t>
  </si>
  <si>
    <t>SOT-23</t>
  </si>
  <si>
    <t>AO3407</t>
  </si>
  <si>
    <t>Guangdong Hottech</t>
  </si>
  <si>
    <t>C181093</t>
  </si>
  <si>
    <t>Q2</t>
  </si>
  <si>
    <t>40V 100mW 100@10mA,1V 200mA 300MHz 300mV@50mA,5mA NPN -55℃~+150℃@(Tj) SOT-723 Bipolar Transistors - BJT ROHS</t>
  </si>
  <si>
    <t>SOT-723</t>
  </si>
  <si>
    <t>MMBT3904M</t>
  </si>
  <si>
    <t>TECH PUBLIC</t>
  </si>
  <si>
    <t>C2923360</t>
  </si>
  <si>
    <t>Resistor</t>
  </si>
  <si>
    <t>R1, R22</t>
  </si>
  <si>
    <t>RES 470 OHM 5% 1/20W 0201</t>
  </si>
  <si>
    <t>Res-0201</t>
  </si>
  <si>
    <t>RC0201JR-07470RL</t>
  </si>
  <si>
    <t>C163491</t>
  </si>
  <si>
    <t>470R</t>
  </si>
  <si>
    <t>R2, R21</t>
  </si>
  <si>
    <t>RES SMD 100K OHM 0.1% 1/10W 0603</t>
  </si>
  <si>
    <t>Res-0603</t>
  </si>
  <si>
    <t>RT0603BRD07100KL</t>
  </si>
  <si>
    <t>C122538</t>
  </si>
  <si>
    <t>100K</t>
  </si>
  <si>
    <t>R3, R4, R5, R6, R7</t>
  </si>
  <si>
    <t>RES SMD 2.87KOHM 0.1% 1/16W 0402</t>
  </si>
  <si>
    <t>Res-0402</t>
  </si>
  <si>
    <t>RT0402BRD072K87L</t>
  </si>
  <si>
    <t>C852707</t>
  </si>
  <si>
    <t>2.87k</t>
  </si>
  <si>
    <t>R8, R18</t>
  </si>
  <si>
    <t>RES 10K OHM 1% 1/16W 0402</t>
  </si>
  <si>
    <t>RC0402FR-0710KL</t>
  </si>
  <si>
    <t>C60490</t>
  </si>
  <si>
    <t>10K</t>
  </si>
  <si>
    <t>R9</t>
  </si>
  <si>
    <t>RES SMD 1K OHM 1% 1/10W 0603</t>
  </si>
  <si>
    <t>RC0603FR-071KL</t>
  </si>
  <si>
    <t>C22548</t>
  </si>
  <si>
    <t>1K</t>
  </si>
  <si>
    <t>R10, R11, R12</t>
  </si>
  <si>
    <t>RES SMD 4.7K OHM 5% 1/10W 0603</t>
  </si>
  <si>
    <t>RC0603JR-074K7L</t>
  </si>
  <si>
    <t>C105428</t>
  </si>
  <si>
    <t>4.7K</t>
  </si>
  <si>
    <t>R13, R14, R15</t>
  </si>
  <si>
    <t>250mW Thick Film Resistors ±800ppm/℃ ±1% 330mΩ 1206 Chip Resistor</t>
  </si>
  <si>
    <t>Res-1206</t>
  </si>
  <si>
    <t>1206W4F330LT5E</t>
  </si>
  <si>
    <t>Uniroyal</t>
  </si>
  <si>
    <t>C25337</t>
  </si>
  <si>
    <t>330mR</t>
  </si>
  <si>
    <t>R16</t>
  </si>
  <si>
    <t>RES 3.9K OHM 1% 1/10W 0603</t>
  </si>
  <si>
    <t>RC0603FR-073K9L</t>
  </si>
  <si>
    <t>C114616</t>
  </si>
  <si>
    <t>3.9K</t>
  </si>
  <si>
    <t>R17</t>
  </si>
  <si>
    <t>RES SMD 56K OHM 1% 1/10W 0603</t>
  </si>
  <si>
    <t>AC0603FR-0756KL</t>
  </si>
  <si>
    <t>C144647</t>
  </si>
  <si>
    <t>56K</t>
  </si>
  <si>
    <t>R19</t>
  </si>
  <si>
    <t>RES SMD 649K OHM 0.1% 1/10W 0603</t>
  </si>
  <si>
    <t>RT0603BRD07649KL</t>
  </si>
  <si>
    <t>C861508</t>
  </si>
  <si>
    <t>649k</t>
  </si>
  <si>
    <t>Switch</t>
  </si>
  <si>
    <t>SW1, SW2</t>
  </si>
  <si>
    <t>SWITCH TACTILE SPST-NO 0.05A 12V</t>
  </si>
  <si>
    <t>B3U-1000P</t>
  </si>
  <si>
    <t>Omron</t>
  </si>
  <si>
    <t>C231329</t>
  </si>
  <si>
    <t>IC</t>
  </si>
  <si>
    <t>U1</t>
  </si>
  <si>
    <t>IC MCU 32BIT EXT MEM 196LFBGA</t>
  </si>
  <si>
    <t>196-LFBGA (12x12)</t>
  </si>
  <si>
    <t>MIMXRT1062DVJ6B</t>
  </si>
  <si>
    <t>NXP Semiconductors</t>
  </si>
  <si>
    <t>U2</t>
  </si>
  <si>
    <t>IC FLASH 64MBIT SPI/QUAD 8SOIC</t>
  </si>
  <si>
    <t>SOIC-8 (208 mil)</t>
  </si>
  <si>
    <t>W25Q64JVSSIM</t>
  </si>
  <si>
    <t>Winbond</t>
  </si>
  <si>
    <t>C5362615</t>
  </si>
  <si>
    <t>U3</t>
  </si>
  <si>
    <t>IC MCU 32BIT 32KB FLASH 16QFN</t>
  </si>
  <si>
    <t>16-QFN (3x3).</t>
  </si>
  <si>
    <t>MKL02Z32VFG4</t>
  </si>
  <si>
    <t>NXP USA</t>
  </si>
  <si>
    <t>Chipsmall</t>
  </si>
  <si>
    <t>U4</t>
  </si>
  <si>
    <t>IC EEPROM 64KBIT I2C 8UFDFPN</t>
  </si>
  <si>
    <t>DFN-8-EP(2x3)</t>
  </si>
  <si>
    <t>M24C64-FMC6TG</t>
  </si>
  <si>
    <t>STMicroelectronics</t>
  </si>
  <si>
    <t>C283446</t>
  </si>
  <si>
    <t>U5, U6, U7</t>
  </si>
  <si>
    <t>IC MOTOR DRIVER PAR 16HTSSOP</t>
  </si>
  <si>
    <t>HTSSOP-16</t>
  </si>
  <si>
    <t>DRV8833PWPR</t>
  </si>
  <si>
    <t>Texas Instruments</t>
  </si>
  <si>
    <t>C50506</t>
  </si>
  <si>
    <t>U8</t>
  </si>
  <si>
    <t>IC REG BUCK 3.3V 2A TSOT26</t>
  </si>
  <si>
    <t>TSOT-23-6</t>
  </si>
  <si>
    <t>AP63203WU-7</t>
  </si>
  <si>
    <t>Diodes</t>
  </si>
  <si>
    <t>C780769</t>
  </si>
  <si>
    <t>U9</t>
  </si>
  <si>
    <t>IC SUPERVISOR 1 CHANNEL 5VSOF</t>
  </si>
  <si>
    <t>VSOF 5</t>
  </si>
  <si>
    <t>BD4860FVE-TR</t>
  </si>
  <si>
    <t>Rohm</t>
  </si>
  <si>
    <t>C509824</t>
  </si>
  <si>
    <t>U11</t>
  </si>
  <si>
    <t>IC REG BUCK ADJUSTABLE 6A 14VQFN</t>
  </si>
  <si>
    <t>14-VQFN (3.5x3.5)_</t>
  </si>
  <si>
    <t>TPS54620RHLR</t>
  </si>
  <si>
    <t>C263274</t>
  </si>
  <si>
    <t>Crystal</t>
  </si>
  <si>
    <t>X1</t>
  </si>
  <si>
    <t>24MHz SMD Crystal Resonator 12pF ±10ppm ±30ppm -40℃~+85℃ SMD3225-4P Crystals ROHS</t>
  </si>
  <si>
    <t>X322524MOB4SI</t>
  </si>
  <si>
    <t>Yangxing Tech</t>
  </si>
  <si>
    <t>C70590</t>
  </si>
  <si>
    <t>24MHZ</t>
  </si>
  <si>
    <t>X2</t>
  </si>
  <si>
    <t>CRYSTAL 32.7680KHZ 12.5PF SMD</t>
  </si>
  <si>
    <t>NX3215SA-32.768K-STD-MUA-8</t>
  </si>
  <si>
    <t>NDK</t>
  </si>
  <si>
    <t>C156245</t>
  </si>
  <si>
    <t>32.7680KHZ</t>
  </si>
  <si>
    <t xml:space="preserve">Total Component Cost </t>
  </si>
  <si>
    <t>Single Board Cost</t>
  </si>
  <si>
    <t>MOQ (10 Boards)</t>
  </si>
  <si>
    <t>Unit Cost (10 Boards)</t>
  </si>
  <si>
    <t>Total Cost (10 Boards)</t>
  </si>
  <si>
    <t>Peripheral</t>
  </si>
  <si>
    <t>Force Sensitive Resistor - Small</t>
  </si>
  <si>
    <t>Force Sensor</t>
  </si>
  <si>
    <t>Motor</t>
  </si>
  <si>
    <t>Sparkfun</t>
  </si>
  <si>
    <t>1218R+Gearbox+Encoder</t>
  </si>
  <si>
    <t>PJRC</t>
  </si>
  <si>
    <t>D1, D7</t>
  </si>
  <si>
    <t>60V 700mV@1A 1A SMA(DO-214AC) Schottky Barrier Diodes (SBD) ROHS</t>
  </si>
  <si>
    <t>SS16</t>
  </si>
  <si>
    <t>MDD</t>
  </si>
  <si>
    <t>C2481</t>
  </si>
  <si>
    <t>D6</t>
  </si>
  <si>
    <t>Single 3.01V~3.22V 500mW 3.1V SOD-123 Zener Diodes ROHS</t>
  </si>
  <si>
    <t>SOD-123</t>
  </si>
  <si>
    <t>LBZT52B3V0T1G</t>
  </si>
  <si>
    <t>LRC</t>
  </si>
  <si>
    <t>C2972805</t>
  </si>
  <si>
    <t>R20</t>
  </si>
  <si>
    <t>RES SMD 100 OHM 1% 1/10W 0603</t>
  </si>
  <si>
    <t>RC0603FR-07100RL</t>
  </si>
  <si>
    <t>100R</t>
  </si>
  <si>
    <t>0603WAF1000T5E</t>
  </si>
  <si>
    <t>C22775</t>
  </si>
  <si>
    <t xml:space="preserve"> ML2032</t>
  </si>
  <si>
    <t xml:space="preserve">3V Li-ion Rechargeable Battery 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</si>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</sst>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8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b/>
      <sz val="12"/>
      <color indexed="13"/>
      <name val="Arial"/>
      <charset val="134"/>
    </font>
    <font>
      <sz val="9"/>
      <color theme="1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b/>
      <sz val="14"/>
      <name val="Calibri"/>
      <charset val="134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center"/>
    </xf>
  </cellStyleXfs>
  <cellXfs count="9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64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7" fillId="4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9" fillId="2" borderId="10" xfId="1" applyFill="1" applyBorder="1" applyAlignment="1">
      <alignment horizontal="center" vertical="center" wrapText="1"/>
    </xf>
    <xf numFmtId="165" fontId="17" fillId="2" borderId="10" xfId="0" applyNumberFormat="1" applyFont="1" applyFill="1" applyBorder="1" applyAlignment="1">
      <alignment horizontal="center" vertical="center" wrapText="1"/>
    </xf>
    <xf numFmtId="0" fontId="19" fillId="2" borderId="11" xfId="1" applyFill="1" applyBorder="1" applyAlignment="1">
      <alignment horizontal="center" vertical="center" wrapText="1"/>
    </xf>
    <xf numFmtId="165" fontId="17" fillId="2" borderId="11" xfId="0" applyNumberFormat="1" applyFont="1" applyFill="1" applyBorder="1" applyAlignment="1">
      <alignment horizontal="center" vertical="center" wrapText="1"/>
    </xf>
    <xf numFmtId="0" fontId="20" fillId="2" borderId="10" xfId="1" applyFont="1" applyFill="1" applyBorder="1" applyAlignment="1">
      <alignment horizontal="center" vertical="center" wrapText="1"/>
    </xf>
    <xf numFmtId="0" fontId="20" fillId="2" borderId="11" xfId="1" applyFont="1" applyFill="1" applyBorder="1" applyAlignment="1">
      <alignment horizontal="center" vertical="center" wrapText="1"/>
    </xf>
    <xf numFmtId="165" fontId="18" fillId="2" borderId="11" xfId="0" applyNumberFormat="1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vertical="center"/>
    </xf>
    <xf numFmtId="0" fontId="22" fillId="2" borderId="10" xfId="0" applyFont="1" applyFill="1" applyBorder="1" applyAlignment="1">
      <alignment horizontal="center" wrapText="1"/>
    </xf>
    <xf numFmtId="0" fontId="23" fillId="2" borderId="1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24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9" fillId="3" borderId="16" xfId="0" applyFont="1" applyFill="1" applyBorder="1" applyAlignment="1" applyProtection="1">
      <alignment horizontal="center" vertical="top"/>
      <protection locked="0"/>
    </xf>
    <xf numFmtId="0" fontId="9" fillId="3" borderId="17" xfId="0" applyFont="1" applyFill="1" applyBorder="1" applyAlignment="1" applyProtection="1">
      <alignment horizontal="center" vertical="top"/>
      <protection locked="0"/>
    </xf>
    <xf numFmtId="0" fontId="7" fillId="3" borderId="17" xfId="0" applyFont="1" applyFill="1" applyBorder="1" applyAlignment="1" applyProtection="1">
      <alignment horizontal="left" vertical="top"/>
      <protection locked="0"/>
    </xf>
    <xf numFmtId="0" fontId="24" fillId="3" borderId="17" xfId="0" applyFont="1" applyFill="1" applyBorder="1" applyAlignment="1" applyProtection="1">
      <alignment horizontal="left" vertical="top"/>
      <protection locked="0"/>
    </xf>
    <xf numFmtId="166" fontId="4" fillId="3" borderId="9" xfId="0" applyNumberFormat="1" applyFont="1" applyFill="1" applyBorder="1" applyAlignment="1">
      <alignment horizontal="center" vertical="center" wrapText="1"/>
    </xf>
    <xf numFmtId="166" fontId="4" fillId="3" borderId="1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2" borderId="10" xfId="0" applyFont="1" applyFill="1" applyBorder="1" applyAlignment="1">
      <alignment horizontal="center"/>
    </xf>
    <xf numFmtId="0" fontId="4" fillId="3" borderId="4" xfId="0" quotePrefix="1" applyFont="1" applyFill="1" applyBorder="1" applyAlignment="1">
      <alignment vertical="center"/>
    </xf>
    <xf numFmtId="0" fontId="7" fillId="3" borderId="0" xfId="0" quotePrefix="1" applyFont="1" applyFill="1" applyAlignment="1">
      <alignment horizontal="left"/>
    </xf>
    <xf numFmtId="0" fontId="7" fillId="3" borderId="6" xfId="0" quotePrefix="1" applyFont="1" applyFill="1" applyBorder="1" applyAlignment="1">
      <alignment horizontal="left"/>
    </xf>
    <xf numFmtId="0" fontId="7" fillId="3" borderId="7" xfId="0" quotePrefix="1" applyFont="1" applyFill="1" applyBorder="1" applyAlignment="1">
      <alignment horizontal="left"/>
    </xf>
    <xf numFmtId="0" fontId="1" fillId="2" borderId="0" xfId="0" applyFont="1" applyFill="1" applyAlignment="1"/>
    <xf numFmtId="0" fontId="7" fillId="4" borderId="11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9" fillId="2" borderId="11" xfId="1" applyFill="1" applyBorder="1" applyAlignment="1">
      <alignment horizontal="center" vertical="center"/>
    </xf>
    <xf numFmtId="165" fontId="17" fillId="2" borderId="1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7" fillId="4" borderId="10" xfId="0" applyFont="1" applyFill="1" applyBorder="1" applyAlignment="1">
      <alignment horizontal="center" vertical="center"/>
    </xf>
    <xf numFmtId="0" fontId="20" fillId="2" borderId="10" xfId="1" applyFont="1" applyFill="1" applyBorder="1" applyAlignment="1">
      <alignment horizontal="center" vertical="center"/>
    </xf>
    <xf numFmtId="165" fontId="17" fillId="2" borderId="10" xfId="0" applyNumberFormat="1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20" fillId="2" borderId="11" xfId="1" applyFont="1" applyFill="1" applyBorder="1" applyAlignment="1">
      <alignment horizontal="center" vertical="center"/>
    </xf>
    <xf numFmtId="0" fontId="19" fillId="2" borderId="10" xfId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5" fillId="3" borderId="18" xfId="0" applyFont="1" applyFill="1" applyBorder="1" applyAlignment="1" applyProtection="1">
      <alignment horizontal="center" vertical="top"/>
      <protection locked="0"/>
    </xf>
    <xf numFmtId="0" fontId="25" fillId="3" borderId="4" xfId="0" applyFont="1" applyFill="1" applyBorder="1" applyAlignment="1" applyProtection="1">
      <alignment horizontal="center" vertical="top"/>
      <protection locked="0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5" fillId="3" borderId="0" xfId="0" applyFont="1" applyFill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27" fillId="2" borderId="11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965795" y="608330"/>
          <a:ext cx="1714500" cy="1066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19</xdr:col>
      <xdr:colOff>0</xdr:colOff>
      <xdr:row>7</xdr:row>
      <xdr:rowOff>162182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055965" y="608330"/>
          <a:ext cx="1714500" cy="1066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TDK-C1608X5R1E475KT000E_C76615.html" TargetMode="External"/><Relationship Id="rId18" Type="http://schemas.openxmlformats.org/officeDocument/2006/relationships/hyperlink" Target="https://www.lcsc.com/product-detail/TVS_WILLSEMI-Will-Semicon-ESD5302F-3-TR_C239643.html" TargetMode="External"/><Relationship Id="rId26" Type="http://schemas.openxmlformats.org/officeDocument/2006/relationships/hyperlink" Target="https://www.lcsc.com/product-detail/Power-Inductors_Sunlord-SWPA5020S3R9NT_C115009.html" TargetMode="External"/><Relationship Id="rId39" Type="http://schemas.openxmlformats.org/officeDocument/2006/relationships/hyperlink" Target="https://www.lcsc.com/product-detail/Chip-Resistor-Surface-Mount_YAGEO-RC0603FR-073K9L_C114616.html" TargetMode="External"/><Relationship Id="rId21" Type="http://schemas.openxmlformats.org/officeDocument/2006/relationships/hyperlink" Target="https://www.lcsc.com/product-detail/Ferrite-Beads_Murata-Electronics-BLM15PD121SN1D_C76891.html" TargetMode="External"/><Relationship Id="rId34" Type="http://schemas.openxmlformats.org/officeDocument/2006/relationships/hyperlink" Target="https://www.lcsc.com/product-detail/Chip-Resistor-Surface-Mount_YAGEO-RT0402BRD072K87L_C852707.html" TargetMode="External"/><Relationship Id="rId42" Type="http://schemas.openxmlformats.org/officeDocument/2006/relationships/hyperlink" Target="https://www.lcsc.com/product-detail/Tactile-Switches_Omron-Electronics-B3U-1000P_C231329.html" TargetMode="External"/><Relationship Id="rId47" Type="http://schemas.openxmlformats.org/officeDocument/2006/relationships/hyperlink" Target="https://www.lcsc.com/product-detail/Monitors-Reset-Circuits_ROHM-Semicon-BD4860FVE-TR_C509824.html" TargetMode="External"/><Relationship Id="rId50" Type="http://schemas.openxmlformats.org/officeDocument/2006/relationships/hyperlink" Target="https://www.lcsc.com/product-detail/Crystals_NDK-NX3215SA-32-768K-STD-MUA-8_C156245.html" TargetMode="External"/><Relationship Id="rId55" Type="http://schemas.openxmlformats.org/officeDocument/2006/relationships/hyperlink" Target="https://www.lcsc.com/product-detail/Schottky-Barrier-Diodes-SBD_MDD-Microdiode-Electronics-SS16_C2481.html" TargetMode="External"/><Relationship Id="rId7" Type="http://schemas.openxmlformats.org/officeDocument/2006/relationships/hyperlink" Target="https://www.lcsc.com/product-detail/Multilayer-Ceramic-Capacitors-MLCC-SMD-SMT_TDK-C3216X5R1A336MTJ00N_C342606.html" TargetMode="External"/><Relationship Id="rId2" Type="http://schemas.openxmlformats.org/officeDocument/2006/relationships/hyperlink" Target="https://www.lcsc.com/product-detail/Multilayer-Ceramic-Capacitors-MLCC-SMD-SMT_YAGEO-CC0402KRX5R8BB224_C326836.html" TargetMode="External"/><Relationship Id="rId16" Type="http://schemas.openxmlformats.org/officeDocument/2006/relationships/hyperlink" Target="https://www.lcsc.com/product-detail/Multilayer-Ceramic-Capacitors-MLCC-SMD-SMT_Murata-Electronics-GRM1555C1E330JA01D_C441758.html" TargetMode="External"/><Relationship Id="rId29" Type="http://schemas.openxmlformats.org/officeDocument/2006/relationships/hyperlink" Target="https://www.lcsc.com/product-detail/Light-Emitting-Diodes-LED_XINGLIGHT-XL-2012UOC_C965813.html" TargetMode="External"/><Relationship Id="rId11" Type="http://schemas.openxmlformats.org/officeDocument/2006/relationships/hyperlink" Target="https://www.lcsc.com/product-detail/Multilayer-Ceramic-Capacitors-MLCC-SMD-SMT_YAGEO-CC0603KRX5R8BB225_C309478.html" TargetMode="External"/><Relationship Id="rId24" Type="http://schemas.openxmlformats.org/officeDocument/2006/relationships/hyperlink" Target="https://www.lcsc.com/product-detail/Pin-Headers_TE-Connectivity-826629-2_C86471.html" TargetMode="External"/><Relationship Id="rId32" Type="http://schemas.openxmlformats.org/officeDocument/2006/relationships/hyperlink" Target="https://www.lcsc.com/product-detail/Chip-Resistor-Surface-Mount_YAGEO-RC0201JR-07470RL_C163491.html" TargetMode="External"/><Relationship Id="rId37" Type="http://schemas.openxmlformats.org/officeDocument/2006/relationships/hyperlink" Target="https://www.lcsc.com/product-detail/Chip-Resistor-Surface-Mount_YAGEO-RC0603JR-074K7L_C105428.html" TargetMode="External"/><Relationship Id="rId40" Type="http://schemas.openxmlformats.org/officeDocument/2006/relationships/hyperlink" Target="https://www.lcsc.com/product-detail/Chip-Resistor-Surface-Mount_YAGEO-AC0603FR-0756KL_C144647.html" TargetMode="External"/><Relationship Id="rId45" Type="http://schemas.openxmlformats.org/officeDocument/2006/relationships/hyperlink" Target="https://www.lcsc.com/product-detail/Motor-Driver-ICs_Texas-Instruments-DRV8833PWPR_C50506.html" TargetMode="External"/><Relationship Id="rId53" Type="http://schemas.openxmlformats.org/officeDocument/2006/relationships/hyperlink" Target="https://www.pjrc.com/store/ic_mkl02_t4.html" TargetMode="External"/><Relationship Id="rId58" Type="http://schemas.openxmlformats.org/officeDocument/2006/relationships/hyperlink" Target="https://www.aliexpress.us/item/1005005939802432.html?gatewayAdapt=4itemAdapt" TargetMode="External"/><Relationship Id="rId5" Type="http://schemas.openxmlformats.org/officeDocument/2006/relationships/hyperlink" Target="https://www.lcsc.com/product-detail/Multilayer-Ceramic-Capacitors-MLCC-SMD-SMT_YAGEO-CC0603MRX5R6BB226_C109447.html" TargetMode="External"/><Relationship Id="rId19" Type="http://schemas.openxmlformats.org/officeDocument/2006/relationships/hyperlink" Target="https://www.lcsc.com/product-detail/ESD-Protection-Devices_Nexperia-PESD5V0H1BSF_C477989.html" TargetMode="External"/><Relationship Id="rId4" Type="http://schemas.openxmlformats.org/officeDocument/2006/relationships/hyperlink" Target="https://www.lcsc.com/product-detail/Multilayer-Ceramic-Capacitors-MLCC-SMD-SMT_YAGEO-CC0402KRX5R8BB104_C106256.html" TargetMode="External"/><Relationship Id="rId9" Type="http://schemas.openxmlformats.org/officeDocument/2006/relationships/hyperlink" Target="https://www.lcsc.com/product-detail/Tantalum-Capacitors_KEMET-T491A106K016AT_C110055.html" TargetMode="External"/><Relationship Id="rId14" Type="http://schemas.openxmlformats.org/officeDocument/2006/relationships/hyperlink" Target="https://www.lcsc.com/product-detail/Multilayer-Ceramic-Capacitors-MLCC-SMD-SMT_Taiyo-Yuden-TMK325ABJ476MM-P_C90142.html" TargetMode="External"/><Relationship Id="rId22" Type="http://schemas.openxmlformats.org/officeDocument/2006/relationships/hyperlink" Target="https://www.lcsc.com/product-detail/USB-Connectors_Amphenol-ICC-10118194-0001LF_C132563.html" TargetMode="External"/><Relationship Id="rId27" Type="http://schemas.openxmlformats.org/officeDocument/2006/relationships/hyperlink" Target="https://www.lcsc.com/product-detail/Power-Inductors_PROD-Tech-PSPMAA0503-2R2M-ANP_C436533.html" TargetMode="External"/><Relationship Id="rId30" Type="http://schemas.openxmlformats.org/officeDocument/2006/relationships/hyperlink" Target="https://www.lcsc.com/product-detail/MOSFETs_Guangdong-Hottech-AO3407_C181093.html" TargetMode="External"/><Relationship Id="rId35" Type="http://schemas.openxmlformats.org/officeDocument/2006/relationships/hyperlink" Target="https://www.lcsc.com/product-detail/Chip-Resistor-Surface-Mount_YAGEO-RC0402FR-0710KL_C60490.html" TargetMode="External"/><Relationship Id="rId43" Type="http://schemas.openxmlformats.org/officeDocument/2006/relationships/hyperlink" Target="https://www.lcsc.com/product-detail/NOR-FLASH_Winbond-Elec-W25Q64JVSSIM_C5362615.html" TargetMode="External"/><Relationship Id="rId48" Type="http://schemas.openxmlformats.org/officeDocument/2006/relationships/hyperlink" Target="https://www.lcsc.com/product-detail/DC-DC-Converters_Texas-Instruments-TPS54620RHLR_C263274.html" TargetMode="External"/><Relationship Id="rId56" Type="http://schemas.openxmlformats.org/officeDocument/2006/relationships/hyperlink" Target="https://www.lcsc.com/product-detail/Zener-Diodes_LRC-LBZT52B3V0T1G_C2972805.html" TargetMode="External"/><Relationship Id="rId8" Type="http://schemas.openxmlformats.org/officeDocument/2006/relationships/hyperlink" Target="https://www.lcsc.com/product-detail/Multilayer-Ceramic-Capacitors-MLCC-SMD-SMT_Samsung-Electro-Mechanics-CL10A106MA8NRNC_C96446.html" TargetMode="External"/><Relationship Id="rId51" Type="http://schemas.openxmlformats.org/officeDocument/2006/relationships/hyperlink" Target="https://www.lcsc.com/product-detail/Multilayer-Ceramic-Capacitors-MLCC-SMD-SMT_PSA-Prosperity-Dielectrics-FN18X223K250PSG_C2929161.html" TargetMode="External"/><Relationship Id="rId3" Type="http://schemas.openxmlformats.org/officeDocument/2006/relationships/hyperlink" Target="https://www.lcsc.com/product-detail/Multilayer-Ceramic-Capacitors-MLCC-SMD-SMT_YAGEO-CC0402KRX5R6BB475_C326586.html" TargetMode="External"/><Relationship Id="rId12" Type="http://schemas.openxmlformats.org/officeDocument/2006/relationships/hyperlink" Target="https://www.lcsc.com/product-detail/Multilayer-Ceramic-Capacitors-MLCC-SMD-SMT_YAGEO-CC0603JRNPO8BN102_C309470.html" TargetMode="External"/><Relationship Id="rId17" Type="http://schemas.openxmlformats.org/officeDocument/2006/relationships/hyperlink" Target="https://www.lcsc.com/product-detail/Schottky-Barrier-Diodes-SBD_MDD-Microdiode-Electronics-SS36_C16015.html" TargetMode="External"/><Relationship Id="rId25" Type="http://schemas.openxmlformats.org/officeDocument/2006/relationships/hyperlink" Target="https://www.lcsc.com/product-detail/Power-Inductors_Murata-Electronics-DFE322512F-4R7M-P2_C703083.html" TargetMode="External"/><Relationship Id="rId33" Type="http://schemas.openxmlformats.org/officeDocument/2006/relationships/hyperlink" Target="https://www.lcsc.com/product-detail/Chip-Resistor-Surface-Mount_YAGEO-RT0603BRD07100KL_C122538.html" TargetMode="External"/><Relationship Id="rId38" Type="http://schemas.openxmlformats.org/officeDocument/2006/relationships/hyperlink" Target="https://www.lcsc.com/product-detail/Chip-Resistor-Surface-Mount_UNI-ROYAL-Uniroyal-Elec-1206W4F330LT5E_C25337.html" TargetMode="External"/><Relationship Id="rId46" Type="http://schemas.openxmlformats.org/officeDocument/2006/relationships/hyperlink" Target="https://www.lcsc.com/product-detail/DC-DC-Converters_Diodes-Incorporated-AP63203WU-7_C780769.html" TargetMode="External"/><Relationship Id="rId59" Type="http://schemas.openxmlformats.org/officeDocument/2006/relationships/drawing" Target="../drawings/drawing1.xml"/><Relationship Id="rId20" Type="http://schemas.openxmlformats.org/officeDocument/2006/relationships/hyperlink" Target="https://www.lcsc.com/product-detail/Resettable-Fuses_TECHFUSE-SMD0603-050_C69679.html" TargetMode="External"/><Relationship Id="rId41" Type="http://schemas.openxmlformats.org/officeDocument/2006/relationships/hyperlink" Target="https://www.lcsc.com/product-detail/Chip-Resistor-Surface-Mount_YAGEO-RT0603BRD07649KL_C861508.html" TargetMode="External"/><Relationship Id="rId54" Type="http://schemas.openxmlformats.org/officeDocument/2006/relationships/hyperlink" Target="https://www.chipsmall.com/So/MIMXRT1062DVJ6B.html" TargetMode="External"/><Relationship Id="rId1" Type="http://schemas.openxmlformats.org/officeDocument/2006/relationships/hyperlink" Target="https://www.lcsc.com/product-detail/Multilayer-Ceramic-Capacitors-MLCC-SMD-SMT_YAGEO-CC0402KRX5R7BB105_C325464.html" TargetMode="External"/><Relationship Id="rId6" Type="http://schemas.openxmlformats.org/officeDocument/2006/relationships/hyperlink" Target="https://www.lcsc.com/product-detail/Multilayer-Ceramic-Capacitors-MLCC-SMD-SMT_Murata-Electronics-GJM1555C1H120GB01D_C161305.html" TargetMode="External"/><Relationship Id="rId15" Type="http://schemas.openxmlformats.org/officeDocument/2006/relationships/hyperlink" Target="https://www.lcsc.com/product-detail/Multilayer-Ceramic-Capacitors-MLCC-SMD-SMT_YAGEO-CC0603KRX7R9BB222_C107082.html" TargetMode="External"/><Relationship Id="rId23" Type="http://schemas.openxmlformats.org/officeDocument/2006/relationships/hyperlink" Target="https://www.lcsc.com/product-detail/Battery-Connectors_MYOUNG-MY-2032-10-R_C964828.html" TargetMode="External"/><Relationship Id="rId28" Type="http://schemas.openxmlformats.org/officeDocument/2006/relationships/hyperlink" Target="https://www.lcsc.com/product-detail/Light-Emitting-Diodes-LED_Foshan-NationStar-Optoelectronics-NCD0603R3_C3151730.html" TargetMode="External"/><Relationship Id="rId36" Type="http://schemas.openxmlformats.org/officeDocument/2006/relationships/hyperlink" Target="https://www.lcsc.com/product-detail/Chip-Resistor-Surface-Mount_YAGEO-RC0603FR-071KL_C22548.html" TargetMode="External"/><Relationship Id="rId49" Type="http://schemas.openxmlformats.org/officeDocument/2006/relationships/hyperlink" Target="https://www.lcsc.com/product-detail/Crystals_YXC-X322524MOB4SI_C70590.html" TargetMode="External"/><Relationship Id="rId57" Type="http://schemas.openxmlformats.org/officeDocument/2006/relationships/hyperlink" Target="https://www.lcsc.com/product-detail/Chip-Resistor-Surface-Mount_UNI-ROYAL-Uniroyal-Elec-0603WAF1000T5E_C22775.html" TargetMode="External"/><Relationship Id="rId10" Type="http://schemas.openxmlformats.org/officeDocument/2006/relationships/hyperlink" Target="https://www.lcsc.com/product-detail/Multilayer-Ceramic-Capacitors-MLCC-SMD-SMT_YAGEO-CC0402KRX5R8BB103_C576726.html" TargetMode="External"/><Relationship Id="rId31" Type="http://schemas.openxmlformats.org/officeDocument/2006/relationships/hyperlink" Target="https://www.lcsc.com/product-detail/Bipolar-Transistors-BJT_TECH-PUBLIC-MMBT3904M_C2923360.html" TargetMode="External"/><Relationship Id="rId44" Type="http://schemas.openxmlformats.org/officeDocument/2006/relationships/hyperlink" Target="https://www.lcsc.com/product-detail/EEPROM_STMicroelectronics-M24C64-FMC6TG_C283446.html" TargetMode="External"/><Relationship Id="rId52" Type="http://schemas.openxmlformats.org/officeDocument/2006/relationships/hyperlink" Target="https://www.sparkfun.com/products/9673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TDK-C1608X5R1E475KT000E_C76615.html" TargetMode="External"/><Relationship Id="rId18" Type="http://schemas.openxmlformats.org/officeDocument/2006/relationships/hyperlink" Target="https://www.lcsc.com/product-detail/TVS_WILLSEMI-Will-Semicon-ESD5302F-3-TR_C239643.html" TargetMode="External"/><Relationship Id="rId26" Type="http://schemas.openxmlformats.org/officeDocument/2006/relationships/hyperlink" Target="https://www.lcsc.com/product-detail/Power-Inductors_Sunlord-SWPA5020S3R9NT_C115009.html" TargetMode="External"/><Relationship Id="rId39" Type="http://schemas.openxmlformats.org/officeDocument/2006/relationships/hyperlink" Target="https://www.lcsc.com/product-detail/Chip-Resistor-Surface-Mount_YAGEO-RC0603FR-073K9L_C114616.html" TargetMode="External"/><Relationship Id="rId21" Type="http://schemas.openxmlformats.org/officeDocument/2006/relationships/hyperlink" Target="https://www.lcsc.com/product-detail/Ferrite-Beads_Murata-Electronics-BLM15PD121SN1D_C76891.html" TargetMode="External"/><Relationship Id="rId34" Type="http://schemas.openxmlformats.org/officeDocument/2006/relationships/hyperlink" Target="https://www.lcsc.com/product-detail/Chip-Resistor-Surface-Mount_YAGEO-RT0402BRD072K87L_C852707.html" TargetMode="External"/><Relationship Id="rId42" Type="http://schemas.openxmlformats.org/officeDocument/2006/relationships/hyperlink" Target="https://www.lcsc.com/product-detail/Tactile-Switches_Omron-Electronics-B3U-1000P_C231329.html" TargetMode="External"/><Relationship Id="rId47" Type="http://schemas.openxmlformats.org/officeDocument/2006/relationships/hyperlink" Target="https://www.lcsc.com/product-detail/Monitors-Reset-Circuits_ROHM-Semicon-BD4860FVE-TR_C509824.html" TargetMode="External"/><Relationship Id="rId50" Type="http://schemas.openxmlformats.org/officeDocument/2006/relationships/hyperlink" Target="https://www.lcsc.com/product-detail/Crystals_NDK-NX3215SA-32-768K-STD-MUA-8_C156245.html" TargetMode="External"/><Relationship Id="rId55" Type="http://schemas.openxmlformats.org/officeDocument/2006/relationships/hyperlink" Target="https://www.lcsc.com/product-detail/Schottky-Barrier-Diodes-SBD_MDD-Microdiode-Electronics-SS16_C2481.html" TargetMode="External"/><Relationship Id="rId7" Type="http://schemas.openxmlformats.org/officeDocument/2006/relationships/hyperlink" Target="https://www.lcsc.com/product-detail/Multilayer-Ceramic-Capacitors-MLCC-SMD-SMT_TDK-C3216X5R1A336MTJ00N_C342606.html" TargetMode="External"/><Relationship Id="rId2" Type="http://schemas.openxmlformats.org/officeDocument/2006/relationships/hyperlink" Target="https://www.lcsc.com/product-detail/Multilayer-Ceramic-Capacitors-MLCC-SMD-SMT_YAGEO-CC0402KRX5R8BB224_C326836.html" TargetMode="External"/><Relationship Id="rId16" Type="http://schemas.openxmlformats.org/officeDocument/2006/relationships/hyperlink" Target="https://www.lcsc.com/product-detail/Multilayer-Ceramic-Capacitors-MLCC-SMD-SMT_Murata-Electronics-GRM1555C1E330JA01D_C441758.html" TargetMode="External"/><Relationship Id="rId29" Type="http://schemas.openxmlformats.org/officeDocument/2006/relationships/hyperlink" Target="https://www.lcsc.com/product-detail/Light-Emitting-Diodes-LED_XINGLIGHT-XL-2012UOC_C965813.html" TargetMode="External"/><Relationship Id="rId11" Type="http://schemas.openxmlformats.org/officeDocument/2006/relationships/hyperlink" Target="https://www.lcsc.com/product-detail/Multilayer-Ceramic-Capacitors-MLCC-SMD-SMT_YAGEO-CC0603KRX5R8BB225_C309478.html" TargetMode="External"/><Relationship Id="rId24" Type="http://schemas.openxmlformats.org/officeDocument/2006/relationships/hyperlink" Target="https://www.lcsc.com/product-detail/Pin-Headers_TE-Connectivity-826629-2_C86471.html" TargetMode="External"/><Relationship Id="rId32" Type="http://schemas.openxmlformats.org/officeDocument/2006/relationships/hyperlink" Target="https://www.lcsc.com/product-detail/Chip-Resistor-Surface-Mount_YAGEO-RC0201JR-07470RL_C163491.html" TargetMode="External"/><Relationship Id="rId37" Type="http://schemas.openxmlformats.org/officeDocument/2006/relationships/hyperlink" Target="https://www.lcsc.com/product-detail/Chip-Resistor-Surface-Mount_YAGEO-RC0603JR-074K7L_C105428.html" TargetMode="External"/><Relationship Id="rId40" Type="http://schemas.openxmlformats.org/officeDocument/2006/relationships/hyperlink" Target="https://www.lcsc.com/product-detail/Chip-Resistor-Surface-Mount_YAGEO-AC0603FR-0756KL_C144647.html" TargetMode="External"/><Relationship Id="rId45" Type="http://schemas.openxmlformats.org/officeDocument/2006/relationships/hyperlink" Target="https://www.lcsc.com/product-detail/Motor-Driver-ICs_Texas-Instruments-DRV8833PWPR_C50506.html" TargetMode="External"/><Relationship Id="rId53" Type="http://schemas.openxmlformats.org/officeDocument/2006/relationships/hyperlink" Target="https://www.pjrc.com/store/ic_mkl02_t4.html" TargetMode="External"/><Relationship Id="rId58" Type="http://schemas.openxmlformats.org/officeDocument/2006/relationships/hyperlink" Target="https://www.aliexpress.us/item/1005005939802432.html?gatewayAdapt=4itemAdapt" TargetMode="External"/><Relationship Id="rId5" Type="http://schemas.openxmlformats.org/officeDocument/2006/relationships/hyperlink" Target="https://www.lcsc.com/product-detail/Multilayer-Ceramic-Capacitors-MLCC-SMD-SMT_YAGEO-CC0603MRX5R6BB226_C109447.html" TargetMode="External"/><Relationship Id="rId19" Type="http://schemas.openxmlformats.org/officeDocument/2006/relationships/hyperlink" Target="https://www.lcsc.com/product-detail/ESD-Protection-Devices_Nexperia-PESD5V0H1BSF_C477989.html" TargetMode="External"/><Relationship Id="rId4" Type="http://schemas.openxmlformats.org/officeDocument/2006/relationships/hyperlink" Target="https://www.lcsc.com/product-detail/Multilayer-Ceramic-Capacitors-MLCC-SMD-SMT_YAGEO-CC0402KRX5R8BB104_C106256.html" TargetMode="External"/><Relationship Id="rId9" Type="http://schemas.openxmlformats.org/officeDocument/2006/relationships/hyperlink" Target="https://www.lcsc.com/product-detail/Tantalum-Capacitors_KEMET-T491A106K016AT_C110055.html" TargetMode="External"/><Relationship Id="rId14" Type="http://schemas.openxmlformats.org/officeDocument/2006/relationships/hyperlink" Target="https://www.lcsc.com/product-detail/Multilayer-Ceramic-Capacitors-MLCC-SMD-SMT_Taiyo-Yuden-TMK325ABJ476MM-P_C90142.html" TargetMode="External"/><Relationship Id="rId22" Type="http://schemas.openxmlformats.org/officeDocument/2006/relationships/hyperlink" Target="https://www.lcsc.com/product-detail/USB-Connectors_Amphenol-ICC-10118194-0001LF_C132563.html" TargetMode="External"/><Relationship Id="rId27" Type="http://schemas.openxmlformats.org/officeDocument/2006/relationships/hyperlink" Target="https://www.lcsc.com/product-detail/Power-Inductors_PROD-Tech-PSPMAA0503-2R2M-ANP_C436533.html" TargetMode="External"/><Relationship Id="rId30" Type="http://schemas.openxmlformats.org/officeDocument/2006/relationships/hyperlink" Target="https://www.lcsc.com/product-detail/MOSFETs_Guangdong-Hottech-AO3407_C181093.html" TargetMode="External"/><Relationship Id="rId35" Type="http://schemas.openxmlformats.org/officeDocument/2006/relationships/hyperlink" Target="https://www.lcsc.com/product-detail/Chip-Resistor-Surface-Mount_YAGEO-RC0402FR-0710KL_C60490.html" TargetMode="External"/><Relationship Id="rId43" Type="http://schemas.openxmlformats.org/officeDocument/2006/relationships/hyperlink" Target="https://www.lcsc.com/product-detail/NOR-FLASH_Winbond-Elec-W25Q64JVSSIM_C5362615.html" TargetMode="External"/><Relationship Id="rId48" Type="http://schemas.openxmlformats.org/officeDocument/2006/relationships/hyperlink" Target="https://www.lcsc.com/product-detail/DC-DC-Converters_Texas-Instruments-TPS54620RHLR_C263274.html" TargetMode="External"/><Relationship Id="rId56" Type="http://schemas.openxmlformats.org/officeDocument/2006/relationships/hyperlink" Target="https://www.lcsc.com/product-detail/Zener-Diodes_LRC-LBZT52B3V0T1G_C2972805.html" TargetMode="External"/><Relationship Id="rId8" Type="http://schemas.openxmlformats.org/officeDocument/2006/relationships/hyperlink" Target="https://www.lcsc.com/product-detail/Multilayer-Ceramic-Capacitors-MLCC-SMD-SMT_Samsung-Electro-Mechanics-CL10A106MA8NRNC_C96446.html" TargetMode="External"/><Relationship Id="rId51" Type="http://schemas.openxmlformats.org/officeDocument/2006/relationships/hyperlink" Target="https://www.lcsc.com/product-detail/Multilayer-Ceramic-Capacitors-MLCC-SMD-SMT_PSA-Prosperity-Dielectrics-FN18X223K250PSG_C2929161.html" TargetMode="External"/><Relationship Id="rId3" Type="http://schemas.openxmlformats.org/officeDocument/2006/relationships/hyperlink" Target="https://www.lcsc.com/product-detail/Multilayer-Ceramic-Capacitors-MLCC-SMD-SMT_YAGEO-CC0402KRX5R6BB475_C326586.html" TargetMode="External"/><Relationship Id="rId12" Type="http://schemas.openxmlformats.org/officeDocument/2006/relationships/hyperlink" Target="https://www.lcsc.com/product-detail/Multilayer-Ceramic-Capacitors-MLCC-SMD-SMT_YAGEO-CC0603JRNPO8BN102_C309470.html" TargetMode="External"/><Relationship Id="rId17" Type="http://schemas.openxmlformats.org/officeDocument/2006/relationships/hyperlink" Target="https://www.lcsc.com/product-detail/Schottky-Barrier-Diodes-SBD_MDD-Microdiode-Electronics-SS36_C16015.html" TargetMode="External"/><Relationship Id="rId25" Type="http://schemas.openxmlformats.org/officeDocument/2006/relationships/hyperlink" Target="https://www.lcsc.com/product-detail/Power-Inductors_Murata-Electronics-DFE322512F-4R7M-P2_C703083.html" TargetMode="External"/><Relationship Id="rId33" Type="http://schemas.openxmlformats.org/officeDocument/2006/relationships/hyperlink" Target="https://www.lcsc.com/product-detail/Chip-Resistor-Surface-Mount_YAGEO-RT0603BRD07100KL_C122538.html" TargetMode="External"/><Relationship Id="rId38" Type="http://schemas.openxmlformats.org/officeDocument/2006/relationships/hyperlink" Target="https://www.lcsc.com/product-detail/Chip-Resistor-Surface-Mount_UNI-ROYAL-Uniroyal-Elec-1206W4F330LT5E_C25337.html" TargetMode="External"/><Relationship Id="rId46" Type="http://schemas.openxmlformats.org/officeDocument/2006/relationships/hyperlink" Target="https://www.lcsc.com/product-detail/DC-DC-Converters_Diodes-Incorporated-AP63203WU-7_C780769.html" TargetMode="External"/><Relationship Id="rId59" Type="http://schemas.openxmlformats.org/officeDocument/2006/relationships/drawing" Target="../drawings/drawing2.xml"/><Relationship Id="rId20" Type="http://schemas.openxmlformats.org/officeDocument/2006/relationships/hyperlink" Target="https://www.lcsc.com/product-detail/Resettable-Fuses_TECHFUSE-SMD0603-050_C69679.html" TargetMode="External"/><Relationship Id="rId41" Type="http://schemas.openxmlformats.org/officeDocument/2006/relationships/hyperlink" Target="https://www.lcsc.com/product-detail/Chip-Resistor-Surface-Mount_YAGEO-RT0603BRD07649KL_C861508.html" TargetMode="External"/><Relationship Id="rId54" Type="http://schemas.openxmlformats.org/officeDocument/2006/relationships/hyperlink" Target="https://www.chipsmall.com/So/MIMXRT1062DVJ6B.html" TargetMode="External"/><Relationship Id="rId1" Type="http://schemas.openxmlformats.org/officeDocument/2006/relationships/hyperlink" Target="https://www.lcsc.com/product-detail/Multilayer-Ceramic-Capacitors-MLCC-SMD-SMT_YAGEO-CC0402KRX5R7BB105_C325464.html" TargetMode="External"/><Relationship Id="rId6" Type="http://schemas.openxmlformats.org/officeDocument/2006/relationships/hyperlink" Target="https://www.lcsc.com/product-detail/Multilayer-Ceramic-Capacitors-MLCC-SMD-SMT_Murata-Electronics-GJM1555C1H120GB01D_C161305.html" TargetMode="External"/><Relationship Id="rId15" Type="http://schemas.openxmlformats.org/officeDocument/2006/relationships/hyperlink" Target="https://www.lcsc.com/product-detail/Multilayer-Ceramic-Capacitors-MLCC-SMD-SMT_YAGEO-CC0603KRX7R9BB222_C107082.html" TargetMode="External"/><Relationship Id="rId23" Type="http://schemas.openxmlformats.org/officeDocument/2006/relationships/hyperlink" Target="https://www.lcsc.com/product-detail/Battery-Connectors_MYOUNG-MY-2032-10-R_C964828.html" TargetMode="External"/><Relationship Id="rId28" Type="http://schemas.openxmlformats.org/officeDocument/2006/relationships/hyperlink" Target="https://www.lcsc.com/product-detail/Light-Emitting-Diodes-LED_Foshan-NationStar-Optoelectronics-NCD0603R3_C3151730.html" TargetMode="External"/><Relationship Id="rId36" Type="http://schemas.openxmlformats.org/officeDocument/2006/relationships/hyperlink" Target="https://www.lcsc.com/product-detail/Chip-Resistor-Surface-Mount_YAGEO-RC0603FR-071KL_C22548.html" TargetMode="External"/><Relationship Id="rId49" Type="http://schemas.openxmlformats.org/officeDocument/2006/relationships/hyperlink" Target="https://www.lcsc.com/product-detail/Crystals_YXC-X322524MOB4SI_C70590.html" TargetMode="External"/><Relationship Id="rId57" Type="http://schemas.openxmlformats.org/officeDocument/2006/relationships/hyperlink" Target="https://www.lcsc.com/product-detail/Chip-Resistor-Surface-Mount_UNI-ROYAL-Uniroyal-Elec-0603WAF1000T5E_C22775.html" TargetMode="External"/><Relationship Id="rId10" Type="http://schemas.openxmlformats.org/officeDocument/2006/relationships/hyperlink" Target="https://www.lcsc.com/product-detail/Multilayer-Ceramic-Capacitors-MLCC-SMD-SMT_YAGEO-CC0402KRX5R8BB103_C576726.html" TargetMode="External"/><Relationship Id="rId31" Type="http://schemas.openxmlformats.org/officeDocument/2006/relationships/hyperlink" Target="https://www.lcsc.com/product-detail/Bipolar-Transistors-BJT_TECH-PUBLIC-MMBT3904M_C2923360.html" TargetMode="External"/><Relationship Id="rId44" Type="http://schemas.openxmlformats.org/officeDocument/2006/relationships/hyperlink" Target="https://www.lcsc.com/product-detail/EEPROM_STMicroelectronics-M24C64-FMC6TG_C283446.html" TargetMode="External"/><Relationship Id="rId52" Type="http://schemas.openxmlformats.org/officeDocument/2006/relationships/hyperlink" Target="https://www.sparkfun.com/products/9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73"/>
  <sheetViews>
    <sheetView tabSelected="1" topLeftCell="A49" workbookViewId="0">
      <selection activeCell="E79" sqref="E79"/>
    </sheetView>
  </sheetViews>
  <sheetFormatPr defaultColWidth="9" defaultRowHeight="15"/>
  <cols>
    <col min="2" max="2" width="3.140625" style="63" customWidth="1"/>
    <col min="3" max="3" width="18" style="63" customWidth="1"/>
    <col min="4" max="4" width="27.42578125" customWidth="1"/>
    <col min="5" max="5" width="30.85546875" customWidth="1"/>
    <col min="6" max="6" width="22.28515625" customWidth="1"/>
    <col min="7" max="7" width="26.42578125" customWidth="1"/>
    <col min="8" max="8" width="21.42578125" customWidth="1"/>
    <col min="9" max="9" width="22" customWidth="1"/>
    <col min="10" max="10" width="17.85546875" customWidth="1"/>
    <col min="11" max="11" width="8.28515625" customWidth="1"/>
    <col min="12" max="12" width="9" customWidth="1"/>
    <col min="13" max="13" width="19" customWidth="1"/>
    <col min="14" max="14" width="15.7109375" customWidth="1"/>
    <col min="15" max="15" width="10.42578125" customWidth="1"/>
    <col min="16" max="16" width="19.42578125" customWidth="1"/>
    <col min="17" max="17" width="20.140625" customWidth="1"/>
    <col min="18" max="18" width="8.85546875" customWidth="1"/>
    <col min="19" max="19" width="26.85546875" customWidth="1"/>
    <col min="21" max="21" width="16" customWidth="1"/>
    <col min="22" max="22" width="25.28515625" bestFit="1" customWidth="1"/>
  </cols>
  <sheetData>
    <row r="1" spans="1:22">
      <c r="A1" s="2"/>
      <c r="B1" s="3"/>
      <c r="C1" s="3"/>
      <c r="D1" s="4"/>
      <c r="E1" s="4"/>
      <c r="F1" s="4"/>
      <c r="G1" s="4"/>
      <c r="H1" s="4"/>
      <c r="I1" s="4"/>
      <c r="J1" s="4"/>
      <c r="K1" s="83"/>
      <c r="L1" s="83"/>
      <c r="M1" s="83"/>
      <c r="N1" s="83"/>
      <c r="O1" s="83"/>
      <c r="P1" s="83"/>
      <c r="Q1" s="83"/>
      <c r="R1" s="83"/>
      <c r="S1" s="84"/>
    </row>
    <row r="2" spans="1:22" ht="31.5">
      <c r="A2" s="2"/>
      <c r="B2" s="5"/>
      <c r="C2" s="6"/>
      <c r="D2" s="7" t="s">
        <v>0</v>
      </c>
      <c r="E2" s="7"/>
      <c r="F2" s="65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48"/>
    </row>
    <row r="3" spans="1:22">
      <c r="A3" s="2"/>
      <c r="B3" s="10"/>
      <c r="C3" s="11"/>
      <c r="D3" s="12" t="s">
        <v>2</v>
      </c>
      <c r="E3" s="12"/>
      <c r="F3" s="66" t="s">
        <v>3</v>
      </c>
      <c r="G3" s="12"/>
      <c r="H3" s="13"/>
      <c r="I3" s="12"/>
      <c r="J3" s="13"/>
      <c r="K3" s="13"/>
      <c r="L3" s="13"/>
      <c r="M3" s="13"/>
      <c r="N3" s="13"/>
      <c r="O3" s="13"/>
      <c r="P3" s="13"/>
      <c r="Q3" s="13"/>
      <c r="R3" s="13"/>
      <c r="S3" s="87"/>
    </row>
    <row r="4" spans="1:22">
      <c r="A4" s="2"/>
      <c r="B4" s="10"/>
      <c r="C4" s="11"/>
      <c r="D4" s="12" t="s">
        <v>4</v>
      </c>
      <c r="E4" s="12"/>
      <c r="F4" s="67" t="s">
        <v>3</v>
      </c>
      <c r="G4" s="14"/>
      <c r="H4" s="15"/>
      <c r="I4" s="14"/>
      <c r="J4" s="15"/>
      <c r="K4" s="15"/>
      <c r="L4" s="17"/>
      <c r="M4" s="17"/>
      <c r="N4" s="17"/>
      <c r="O4" s="17"/>
      <c r="P4" s="17"/>
      <c r="Q4" s="17"/>
      <c r="R4" s="17"/>
      <c r="S4" s="88"/>
    </row>
    <row r="5" spans="1:22">
      <c r="A5" s="2"/>
      <c r="B5" s="10"/>
      <c r="C5" s="11"/>
      <c r="D5" s="12" t="s">
        <v>5</v>
      </c>
      <c r="E5" s="12"/>
      <c r="F5" s="68" t="s">
        <v>6</v>
      </c>
      <c r="G5" s="16"/>
      <c r="H5" s="17"/>
      <c r="I5" s="16"/>
      <c r="J5" s="17"/>
      <c r="K5" s="17"/>
      <c r="L5" s="17"/>
      <c r="M5" s="17"/>
      <c r="N5" s="17"/>
      <c r="O5" s="17"/>
      <c r="P5" s="17"/>
      <c r="Q5" s="17"/>
      <c r="R5" s="17"/>
      <c r="S5" s="88"/>
    </row>
    <row r="6" spans="1:22">
      <c r="A6" s="2"/>
      <c r="B6" s="18"/>
      <c r="C6" s="19"/>
      <c r="D6" s="20"/>
      <c r="E6" s="20"/>
      <c r="F6" s="21"/>
      <c r="G6" s="16"/>
      <c r="H6" s="17"/>
      <c r="I6" s="16"/>
      <c r="J6" s="17"/>
      <c r="K6" s="17"/>
      <c r="L6" s="17"/>
      <c r="M6" s="17"/>
      <c r="N6" s="17"/>
      <c r="O6" s="17"/>
      <c r="P6" s="17"/>
      <c r="Q6" s="17"/>
      <c r="R6" s="17"/>
      <c r="S6" s="88"/>
    </row>
    <row r="7" spans="1:22">
      <c r="A7" s="2"/>
      <c r="B7" s="22"/>
      <c r="C7" s="23"/>
      <c r="D7" s="24"/>
      <c r="E7" s="24"/>
      <c r="F7" s="25"/>
      <c r="G7" s="24"/>
      <c r="H7" s="26"/>
      <c r="I7" s="24"/>
      <c r="J7" s="26"/>
      <c r="K7" s="26"/>
      <c r="L7" s="26"/>
      <c r="M7" s="26"/>
      <c r="N7" s="26"/>
      <c r="O7" s="26"/>
      <c r="P7" s="26"/>
      <c r="Q7" s="26"/>
      <c r="R7" s="26"/>
      <c r="S7" s="88"/>
    </row>
    <row r="8" spans="1:22" ht="15.75" thickBot="1">
      <c r="A8" s="2"/>
      <c r="B8" s="27"/>
      <c r="C8" s="28"/>
      <c r="D8" s="29"/>
      <c r="E8" s="29"/>
      <c r="F8" s="30"/>
      <c r="G8" s="24"/>
      <c r="H8" s="26"/>
      <c r="I8" s="24"/>
      <c r="J8" s="26"/>
      <c r="K8" s="26"/>
      <c r="L8" s="26"/>
      <c r="M8" s="26"/>
      <c r="N8" s="26"/>
      <c r="O8" s="26"/>
      <c r="P8" s="26"/>
      <c r="Q8" s="26"/>
      <c r="R8" s="26"/>
      <c r="S8" s="88"/>
    </row>
    <row r="9" spans="1:22" ht="15.75" thickBot="1">
      <c r="A9" s="2"/>
      <c r="B9" s="31" t="s">
        <v>7</v>
      </c>
      <c r="C9" s="31" t="s">
        <v>8</v>
      </c>
      <c r="D9" s="31" t="s">
        <v>9</v>
      </c>
      <c r="E9" s="31" t="s">
        <v>10</v>
      </c>
      <c r="F9" s="31" t="s">
        <v>11</v>
      </c>
      <c r="G9" s="31" t="s">
        <v>12</v>
      </c>
      <c r="H9" s="31" t="s">
        <v>13</v>
      </c>
      <c r="I9" s="31" t="s">
        <v>14</v>
      </c>
      <c r="J9" s="31" t="s">
        <v>15</v>
      </c>
      <c r="K9" s="31" t="s">
        <v>16</v>
      </c>
      <c r="L9" s="31" t="s">
        <v>17</v>
      </c>
      <c r="M9" s="31" t="s">
        <v>18</v>
      </c>
      <c r="N9" s="31" t="s">
        <v>19</v>
      </c>
      <c r="O9" s="31" t="s">
        <v>20</v>
      </c>
      <c r="P9" s="31" t="s">
        <v>21</v>
      </c>
      <c r="Q9" s="31" t="s">
        <v>22</v>
      </c>
      <c r="R9" s="31" t="s">
        <v>23</v>
      </c>
      <c r="S9" s="31" t="s">
        <v>24</v>
      </c>
    </row>
    <row r="10" spans="1:22">
      <c r="A10" s="2"/>
      <c r="B10" s="33">
        <f t="shared" ref="B10:B71" si="0">ROW(B10)-ROW($B$9)</f>
        <v>1</v>
      </c>
      <c r="C10" s="34" t="s">
        <v>25</v>
      </c>
      <c r="D10" s="35" t="s">
        <v>26</v>
      </c>
      <c r="E10" s="35" t="s">
        <v>27</v>
      </c>
      <c r="F10" s="35" t="s">
        <v>28</v>
      </c>
      <c r="G10" s="35" t="s">
        <v>29</v>
      </c>
      <c r="H10" s="35" t="s">
        <v>30</v>
      </c>
      <c r="I10" s="35" t="s">
        <v>31</v>
      </c>
      <c r="J10" s="35" t="s">
        <v>32</v>
      </c>
      <c r="K10" s="35" t="s">
        <v>33</v>
      </c>
      <c r="L10" s="35">
        <v>4</v>
      </c>
      <c r="M10" s="35">
        <f t="shared" ref="M10:M71" si="1">L10*5</f>
        <v>20</v>
      </c>
      <c r="N10" s="35">
        <v>100</v>
      </c>
      <c r="O10" s="41" t="s">
        <v>34</v>
      </c>
      <c r="P10" s="42">
        <v>4.1000000000000003E-3</v>
      </c>
      <c r="Q10" s="42">
        <f t="shared" ref="Q10:Q70" si="2">P10*N10</f>
        <v>0.41000000000000003</v>
      </c>
      <c r="R10" s="35"/>
      <c r="S10" s="64"/>
    </row>
    <row r="11" spans="1:22" s="1" customFormat="1" ht="36">
      <c r="A11" s="32"/>
      <c r="B11" s="36">
        <f t="shared" si="0"/>
        <v>2</v>
      </c>
      <c r="C11" s="34" t="s">
        <v>25</v>
      </c>
      <c r="D11" s="37" t="s">
        <v>35</v>
      </c>
      <c r="E11" s="37" t="s">
        <v>36</v>
      </c>
      <c r="F11" s="37" t="s">
        <v>28</v>
      </c>
      <c r="G11" s="37" t="s">
        <v>37</v>
      </c>
      <c r="H11" s="37" t="s">
        <v>30</v>
      </c>
      <c r="I11" s="37" t="s">
        <v>31</v>
      </c>
      <c r="J11" s="37" t="s">
        <v>38</v>
      </c>
      <c r="K11" s="37" t="s">
        <v>39</v>
      </c>
      <c r="L11" s="37">
        <v>19</v>
      </c>
      <c r="M11" s="37">
        <f t="shared" si="1"/>
        <v>95</v>
      </c>
      <c r="N11" s="37">
        <v>100</v>
      </c>
      <c r="O11" s="43" t="s">
        <v>34</v>
      </c>
      <c r="P11" s="44">
        <v>6.1000000000000004E-3</v>
      </c>
      <c r="Q11" s="44">
        <f t="shared" si="2"/>
        <v>0.61</v>
      </c>
      <c r="R11" s="37"/>
      <c r="S11" s="37"/>
      <c r="U11"/>
      <c r="V11"/>
    </row>
    <row r="12" spans="1:22" ht="24">
      <c r="A12" s="2"/>
      <c r="B12" s="33">
        <f t="shared" si="0"/>
        <v>3</v>
      </c>
      <c r="C12" s="34" t="s">
        <v>25</v>
      </c>
      <c r="D12" s="35" t="s">
        <v>40</v>
      </c>
      <c r="E12" s="35" t="s">
        <v>41</v>
      </c>
      <c r="F12" s="35" t="s">
        <v>28</v>
      </c>
      <c r="G12" s="35" t="s">
        <v>42</v>
      </c>
      <c r="H12" s="35" t="s">
        <v>30</v>
      </c>
      <c r="I12" s="37" t="s">
        <v>31</v>
      </c>
      <c r="J12" s="35" t="s">
        <v>43</v>
      </c>
      <c r="K12" s="35" t="s">
        <v>44</v>
      </c>
      <c r="L12" s="35">
        <v>9</v>
      </c>
      <c r="M12" s="35">
        <f t="shared" si="1"/>
        <v>45</v>
      </c>
      <c r="N12" s="35">
        <v>50</v>
      </c>
      <c r="O12" s="41" t="s">
        <v>34</v>
      </c>
      <c r="P12" s="42">
        <v>1.49E-2</v>
      </c>
      <c r="Q12" s="42">
        <f t="shared" si="2"/>
        <v>0.745</v>
      </c>
      <c r="R12" s="35"/>
      <c r="S12" s="64"/>
    </row>
    <row r="13" spans="1:22" ht="24">
      <c r="A13" s="2"/>
      <c r="B13" s="36">
        <f t="shared" si="0"/>
        <v>4</v>
      </c>
      <c r="C13" s="38" t="s">
        <v>25</v>
      </c>
      <c r="D13" s="37" t="s">
        <v>45</v>
      </c>
      <c r="E13" s="37" t="s">
        <v>46</v>
      </c>
      <c r="F13" s="37" t="s">
        <v>28</v>
      </c>
      <c r="G13" s="37" t="s">
        <v>47</v>
      </c>
      <c r="H13" s="37" t="s">
        <v>30</v>
      </c>
      <c r="I13" s="37" t="s">
        <v>31</v>
      </c>
      <c r="J13" s="37" t="s">
        <v>48</v>
      </c>
      <c r="K13" s="37" t="s">
        <v>49</v>
      </c>
      <c r="L13" s="37">
        <v>10</v>
      </c>
      <c r="M13" s="37">
        <f t="shared" si="1"/>
        <v>50</v>
      </c>
      <c r="N13" s="37">
        <v>100</v>
      </c>
      <c r="O13" s="43" t="s">
        <v>34</v>
      </c>
      <c r="P13" s="44">
        <v>1.9E-3</v>
      </c>
      <c r="Q13" s="44">
        <f t="shared" si="2"/>
        <v>0.19</v>
      </c>
      <c r="R13" s="37"/>
      <c r="S13" s="37"/>
    </row>
    <row r="14" spans="1:22">
      <c r="A14" s="2"/>
      <c r="B14" s="33">
        <f t="shared" si="0"/>
        <v>5</v>
      </c>
      <c r="C14" s="34" t="s">
        <v>25</v>
      </c>
      <c r="D14" s="35" t="s">
        <v>50</v>
      </c>
      <c r="E14" s="35" t="s">
        <v>51</v>
      </c>
      <c r="F14" s="35" t="s">
        <v>52</v>
      </c>
      <c r="G14" s="35" t="s">
        <v>53</v>
      </c>
      <c r="H14" s="35" t="s">
        <v>30</v>
      </c>
      <c r="I14" s="37" t="s">
        <v>31</v>
      </c>
      <c r="J14" s="35" t="s">
        <v>54</v>
      </c>
      <c r="K14" s="35" t="s">
        <v>55</v>
      </c>
      <c r="L14" s="35">
        <v>4</v>
      </c>
      <c r="M14" s="35">
        <f t="shared" si="1"/>
        <v>20</v>
      </c>
      <c r="N14" s="35">
        <v>40</v>
      </c>
      <c r="O14" s="41" t="s">
        <v>34</v>
      </c>
      <c r="P14" s="42">
        <v>3.1899999999999998E-2</v>
      </c>
      <c r="Q14" s="42">
        <f t="shared" si="2"/>
        <v>1.2759999999999998</v>
      </c>
      <c r="R14" s="35"/>
      <c r="S14" s="64"/>
    </row>
    <row r="15" spans="1:22">
      <c r="A15" s="2"/>
      <c r="B15" s="36">
        <f t="shared" si="0"/>
        <v>6</v>
      </c>
      <c r="C15" s="34" t="s">
        <v>25</v>
      </c>
      <c r="D15" s="37" t="s">
        <v>56</v>
      </c>
      <c r="E15" s="37" t="s">
        <v>57</v>
      </c>
      <c r="F15" s="37" t="s">
        <v>28</v>
      </c>
      <c r="G15" s="37" t="s">
        <v>58</v>
      </c>
      <c r="H15" s="37" t="s">
        <v>59</v>
      </c>
      <c r="I15" s="37" t="s">
        <v>31</v>
      </c>
      <c r="J15" s="37" t="s">
        <v>60</v>
      </c>
      <c r="K15" s="37" t="s">
        <v>61</v>
      </c>
      <c r="L15" s="37">
        <v>4</v>
      </c>
      <c r="M15" s="37">
        <f t="shared" si="1"/>
        <v>20</v>
      </c>
      <c r="N15" s="37">
        <v>50</v>
      </c>
      <c r="O15" s="43" t="s">
        <v>34</v>
      </c>
      <c r="P15" s="44">
        <v>1.23E-2</v>
      </c>
      <c r="Q15" s="44">
        <f t="shared" si="2"/>
        <v>0.61499999999999999</v>
      </c>
      <c r="R15" s="37"/>
      <c r="S15" s="37"/>
    </row>
    <row r="16" spans="1:22">
      <c r="A16" s="2"/>
      <c r="B16" s="33">
        <f t="shared" si="0"/>
        <v>7</v>
      </c>
      <c r="C16" s="34" t="s">
        <v>25</v>
      </c>
      <c r="D16" s="35" t="s">
        <v>62</v>
      </c>
      <c r="E16" s="35" t="s">
        <v>63</v>
      </c>
      <c r="F16" s="35" t="s">
        <v>64</v>
      </c>
      <c r="G16" s="35" t="s">
        <v>65</v>
      </c>
      <c r="H16" s="35" t="s">
        <v>66</v>
      </c>
      <c r="I16" s="37" t="s">
        <v>31</v>
      </c>
      <c r="J16" s="35" t="s">
        <v>67</v>
      </c>
      <c r="K16" s="35" t="s">
        <v>68</v>
      </c>
      <c r="L16" s="35">
        <v>1</v>
      </c>
      <c r="M16" s="35">
        <f t="shared" si="1"/>
        <v>5</v>
      </c>
      <c r="N16" s="35">
        <v>6</v>
      </c>
      <c r="O16" s="41" t="s">
        <v>34</v>
      </c>
      <c r="P16" s="42">
        <v>0.59350000000000003</v>
      </c>
      <c r="Q16" s="42">
        <f t="shared" si="2"/>
        <v>3.5609999999999999</v>
      </c>
      <c r="R16" s="35"/>
      <c r="S16" s="64"/>
    </row>
    <row r="17" spans="1:19">
      <c r="A17" s="2"/>
      <c r="B17" s="36">
        <f t="shared" si="0"/>
        <v>8</v>
      </c>
      <c r="C17" s="34" t="s">
        <v>25</v>
      </c>
      <c r="D17" s="37" t="s">
        <v>69</v>
      </c>
      <c r="E17" s="37" t="s">
        <v>70</v>
      </c>
      <c r="F17" s="37" t="s">
        <v>52</v>
      </c>
      <c r="G17" s="37" t="s">
        <v>71</v>
      </c>
      <c r="H17" s="37" t="s">
        <v>72</v>
      </c>
      <c r="I17" s="37" t="s">
        <v>31</v>
      </c>
      <c r="J17" s="37" t="s">
        <v>73</v>
      </c>
      <c r="K17" s="37" t="s">
        <v>74</v>
      </c>
      <c r="L17" s="37">
        <v>3</v>
      </c>
      <c r="M17" s="37">
        <f t="shared" si="1"/>
        <v>15</v>
      </c>
      <c r="N17" s="37">
        <v>20</v>
      </c>
      <c r="O17" s="43" t="s">
        <v>34</v>
      </c>
      <c r="P17" s="44">
        <v>2.12E-2</v>
      </c>
      <c r="Q17" s="44">
        <f t="shared" si="2"/>
        <v>0.42399999999999999</v>
      </c>
      <c r="R17" s="37"/>
      <c r="S17" s="37"/>
    </row>
    <row r="18" spans="1:19">
      <c r="A18" s="2"/>
      <c r="B18" s="33">
        <f t="shared" si="0"/>
        <v>9</v>
      </c>
      <c r="C18" s="34" t="s">
        <v>25</v>
      </c>
      <c r="D18" s="35" t="s">
        <v>75</v>
      </c>
      <c r="E18" s="35" t="s">
        <v>76</v>
      </c>
      <c r="F18" s="35" t="s">
        <v>77</v>
      </c>
      <c r="G18" s="35" t="s">
        <v>78</v>
      </c>
      <c r="H18" s="35" t="s">
        <v>79</v>
      </c>
      <c r="I18" s="37" t="s">
        <v>31</v>
      </c>
      <c r="J18" s="35" t="s">
        <v>80</v>
      </c>
      <c r="K18" s="35" t="s">
        <v>74</v>
      </c>
      <c r="L18" s="35">
        <v>3</v>
      </c>
      <c r="M18" s="35">
        <f t="shared" si="1"/>
        <v>15</v>
      </c>
      <c r="N18" s="35">
        <v>20</v>
      </c>
      <c r="O18" s="41" t="s">
        <v>34</v>
      </c>
      <c r="P18" s="42">
        <v>0.1139</v>
      </c>
      <c r="Q18" s="42">
        <f t="shared" si="2"/>
        <v>2.278</v>
      </c>
      <c r="R18" s="35"/>
      <c r="S18" s="64"/>
    </row>
    <row r="19" spans="1:19">
      <c r="A19" s="2"/>
      <c r="B19" s="36">
        <f t="shared" si="0"/>
        <v>10</v>
      </c>
      <c r="C19" s="34" t="s">
        <v>25</v>
      </c>
      <c r="D19" s="37" t="s">
        <v>81</v>
      </c>
      <c r="E19" s="37" t="s">
        <v>82</v>
      </c>
      <c r="F19" s="37" t="s">
        <v>28</v>
      </c>
      <c r="G19" s="37" t="s">
        <v>83</v>
      </c>
      <c r="H19" s="37" t="s">
        <v>30</v>
      </c>
      <c r="I19" s="37" t="s">
        <v>31</v>
      </c>
      <c r="J19" s="37" t="s">
        <v>84</v>
      </c>
      <c r="K19" s="37" t="s">
        <v>85</v>
      </c>
      <c r="L19" s="37">
        <v>3</v>
      </c>
      <c r="M19" s="37">
        <f t="shared" si="1"/>
        <v>15</v>
      </c>
      <c r="N19" s="37">
        <v>100</v>
      </c>
      <c r="O19" s="43" t="s">
        <v>34</v>
      </c>
      <c r="P19" s="44">
        <v>1.1999999999999999E-3</v>
      </c>
      <c r="Q19" s="44">
        <f t="shared" si="2"/>
        <v>0.12</v>
      </c>
      <c r="R19" s="37"/>
      <c r="S19" s="37"/>
    </row>
    <row r="20" spans="1:19">
      <c r="A20" s="2"/>
      <c r="B20" s="33">
        <f t="shared" si="0"/>
        <v>11</v>
      </c>
      <c r="C20" s="34" t="s">
        <v>25</v>
      </c>
      <c r="D20" s="35" t="s">
        <v>86</v>
      </c>
      <c r="E20" s="35" t="s">
        <v>87</v>
      </c>
      <c r="F20" s="35" t="s">
        <v>88</v>
      </c>
      <c r="G20" s="35" t="s">
        <v>89</v>
      </c>
      <c r="H20" s="35" t="s">
        <v>30</v>
      </c>
      <c r="I20" s="37" t="s">
        <v>31</v>
      </c>
      <c r="J20" s="35" t="s">
        <v>90</v>
      </c>
      <c r="K20" s="35" t="s">
        <v>91</v>
      </c>
      <c r="L20" s="35">
        <v>3</v>
      </c>
      <c r="M20" s="35">
        <f t="shared" si="1"/>
        <v>15</v>
      </c>
      <c r="N20" s="35">
        <v>50</v>
      </c>
      <c r="O20" s="41" t="s">
        <v>34</v>
      </c>
      <c r="P20" s="42">
        <v>1.7899999999999999E-2</v>
      </c>
      <c r="Q20" s="42">
        <f t="shared" si="2"/>
        <v>0.89500000000000002</v>
      </c>
      <c r="R20" s="35"/>
      <c r="S20" s="64"/>
    </row>
    <row r="21" spans="1:19">
      <c r="A21" s="2"/>
      <c r="B21" s="36">
        <f t="shared" si="0"/>
        <v>12</v>
      </c>
      <c r="C21" s="34" t="s">
        <v>25</v>
      </c>
      <c r="D21" s="37" t="s">
        <v>92</v>
      </c>
      <c r="E21" s="37" t="s">
        <v>93</v>
      </c>
      <c r="F21" s="37" t="s">
        <v>88</v>
      </c>
      <c r="G21" s="37" t="s">
        <v>94</v>
      </c>
      <c r="H21" s="37" t="s">
        <v>30</v>
      </c>
      <c r="I21" s="37" t="s">
        <v>31</v>
      </c>
      <c r="J21" s="37" t="s">
        <v>95</v>
      </c>
      <c r="K21" s="37" t="s">
        <v>96</v>
      </c>
      <c r="L21" s="37">
        <v>1</v>
      </c>
      <c r="M21" s="37">
        <f t="shared" si="1"/>
        <v>5</v>
      </c>
      <c r="N21" s="37">
        <v>100</v>
      </c>
      <c r="O21" s="43" t="s">
        <v>34</v>
      </c>
      <c r="P21" s="44">
        <v>3.8999999999999998E-3</v>
      </c>
      <c r="Q21" s="44">
        <f t="shared" si="2"/>
        <v>0.38999999999999996</v>
      </c>
      <c r="R21" s="37"/>
      <c r="S21" s="37"/>
    </row>
    <row r="22" spans="1:19">
      <c r="A22" s="2"/>
      <c r="B22" s="33">
        <f t="shared" si="0"/>
        <v>13</v>
      </c>
      <c r="C22" s="34" t="s">
        <v>25</v>
      </c>
      <c r="D22" s="35" t="s">
        <v>97</v>
      </c>
      <c r="E22" s="35" t="s">
        <v>98</v>
      </c>
      <c r="F22" s="35" t="s">
        <v>52</v>
      </c>
      <c r="G22" s="35" t="s">
        <v>99</v>
      </c>
      <c r="H22" s="35" t="s">
        <v>66</v>
      </c>
      <c r="I22" s="37" t="s">
        <v>31</v>
      </c>
      <c r="J22" s="35" t="s">
        <v>100</v>
      </c>
      <c r="K22" s="35" t="s">
        <v>44</v>
      </c>
      <c r="L22" s="35">
        <v>1</v>
      </c>
      <c r="M22" s="35">
        <f t="shared" si="1"/>
        <v>5</v>
      </c>
      <c r="N22" s="35">
        <v>10</v>
      </c>
      <c r="O22" s="41" t="s">
        <v>34</v>
      </c>
      <c r="P22" s="42">
        <v>3.9300000000000002E-2</v>
      </c>
      <c r="Q22" s="42">
        <f t="shared" si="2"/>
        <v>0.39300000000000002</v>
      </c>
      <c r="R22" s="35"/>
      <c r="S22" s="64"/>
    </row>
    <row r="23" spans="1:19">
      <c r="A23" s="2"/>
      <c r="B23" s="36">
        <f t="shared" si="0"/>
        <v>14</v>
      </c>
      <c r="C23" s="34" t="s">
        <v>25</v>
      </c>
      <c r="D23" s="37" t="s">
        <v>101</v>
      </c>
      <c r="E23" s="37" t="s">
        <v>102</v>
      </c>
      <c r="F23" s="37" t="s">
        <v>103</v>
      </c>
      <c r="G23" s="37" t="s">
        <v>104</v>
      </c>
      <c r="H23" s="37" t="s">
        <v>105</v>
      </c>
      <c r="I23" s="37" t="s">
        <v>31</v>
      </c>
      <c r="J23" s="37" t="s">
        <v>106</v>
      </c>
      <c r="K23" s="37" t="s">
        <v>107</v>
      </c>
      <c r="L23" s="37">
        <v>1</v>
      </c>
      <c r="M23" s="37">
        <f t="shared" si="1"/>
        <v>5</v>
      </c>
      <c r="N23" s="37">
        <v>6</v>
      </c>
      <c r="O23" s="43" t="s">
        <v>34</v>
      </c>
      <c r="P23" s="44">
        <v>0.36599999999999999</v>
      </c>
      <c r="Q23" s="44">
        <f t="shared" si="2"/>
        <v>2.1959999999999997</v>
      </c>
      <c r="R23" s="37"/>
      <c r="S23" s="37"/>
    </row>
    <row r="24" spans="1:19">
      <c r="A24" s="2"/>
      <c r="B24" s="33">
        <f t="shared" si="0"/>
        <v>15</v>
      </c>
      <c r="C24" s="34" t="s">
        <v>25</v>
      </c>
      <c r="D24" s="35" t="s">
        <v>108</v>
      </c>
      <c r="E24" s="35" t="s">
        <v>109</v>
      </c>
      <c r="F24" s="35" t="s">
        <v>52</v>
      </c>
      <c r="G24" s="35" t="s">
        <v>110</v>
      </c>
      <c r="H24" s="35" t="s">
        <v>30</v>
      </c>
      <c r="I24" s="37" t="s">
        <v>31</v>
      </c>
      <c r="J24" s="35" t="s">
        <v>111</v>
      </c>
      <c r="K24" s="35" t="s">
        <v>112</v>
      </c>
      <c r="L24" s="35">
        <v>1</v>
      </c>
      <c r="M24" s="35">
        <f t="shared" si="1"/>
        <v>5</v>
      </c>
      <c r="N24" s="35">
        <v>100</v>
      </c>
      <c r="O24" s="41" t="s">
        <v>34</v>
      </c>
      <c r="P24" s="42">
        <v>2.5000000000000001E-3</v>
      </c>
      <c r="Q24" s="42">
        <f t="shared" si="2"/>
        <v>0.25</v>
      </c>
      <c r="R24" s="35"/>
      <c r="S24" s="64"/>
    </row>
    <row r="25" spans="1:19">
      <c r="A25" s="2"/>
      <c r="B25" s="36">
        <f t="shared" si="0"/>
        <v>16</v>
      </c>
      <c r="C25" s="38" t="s">
        <v>25</v>
      </c>
      <c r="D25" s="37" t="s">
        <v>113</v>
      </c>
      <c r="E25" s="37" t="s">
        <v>114</v>
      </c>
      <c r="F25" s="37" t="s">
        <v>28</v>
      </c>
      <c r="G25" s="37" t="s">
        <v>115</v>
      </c>
      <c r="H25" s="37" t="s">
        <v>59</v>
      </c>
      <c r="I25" s="37" t="s">
        <v>31</v>
      </c>
      <c r="J25" s="37" t="s">
        <v>116</v>
      </c>
      <c r="K25" s="37" t="s">
        <v>117</v>
      </c>
      <c r="L25" s="37">
        <v>1</v>
      </c>
      <c r="M25" s="37">
        <f t="shared" si="1"/>
        <v>5</v>
      </c>
      <c r="N25" s="37">
        <v>20</v>
      </c>
      <c r="O25" s="43" t="s">
        <v>34</v>
      </c>
      <c r="P25" s="44">
        <v>2.6599999999999999E-2</v>
      </c>
      <c r="Q25" s="44">
        <f t="shared" si="2"/>
        <v>0.53200000000000003</v>
      </c>
      <c r="R25" s="37"/>
      <c r="S25" s="37"/>
    </row>
    <row r="26" spans="1:19" ht="24">
      <c r="A26" s="2"/>
      <c r="B26" s="33">
        <f t="shared" si="0"/>
        <v>17</v>
      </c>
      <c r="C26" s="34" t="s">
        <v>25</v>
      </c>
      <c r="D26" s="35" t="s">
        <v>118</v>
      </c>
      <c r="E26" s="35" t="s">
        <v>119</v>
      </c>
      <c r="F26" s="35" t="s">
        <v>52</v>
      </c>
      <c r="G26" s="35" t="s">
        <v>120</v>
      </c>
      <c r="H26" s="35" t="s">
        <v>121</v>
      </c>
      <c r="I26" s="37" t="s">
        <v>31</v>
      </c>
      <c r="J26" s="35" t="s">
        <v>122</v>
      </c>
      <c r="K26" s="35" t="s">
        <v>123</v>
      </c>
      <c r="L26" s="35">
        <v>1</v>
      </c>
      <c r="M26" s="35">
        <f t="shared" si="1"/>
        <v>5</v>
      </c>
      <c r="N26" s="35">
        <v>100</v>
      </c>
      <c r="O26" s="41" t="s">
        <v>34</v>
      </c>
      <c r="P26" s="42">
        <v>3.8999999999999998E-3</v>
      </c>
      <c r="Q26" s="42">
        <f t="shared" si="2"/>
        <v>0.38999999999999996</v>
      </c>
      <c r="R26" s="35"/>
      <c r="S26" s="64"/>
    </row>
    <row r="27" spans="1:19" ht="24">
      <c r="A27" s="2"/>
      <c r="B27" s="36">
        <f t="shared" si="0"/>
        <v>18</v>
      </c>
      <c r="C27" s="38" t="s">
        <v>124</v>
      </c>
      <c r="D27" s="93" t="s">
        <v>366</v>
      </c>
      <c r="E27" s="93" t="s">
        <v>367</v>
      </c>
      <c r="F27" s="93" t="s">
        <v>128</v>
      </c>
      <c r="G27" s="93" t="s">
        <v>368</v>
      </c>
      <c r="H27" s="93" t="s">
        <v>369</v>
      </c>
      <c r="I27" s="37" t="s">
        <v>31</v>
      </c>
      <c r="J27" s="93" t="s">
        <v>370</v>
      </c>
      <c r="K27" s="37" t="s">
        <v>31</v>
      </c>
      <c r="L27" s="37">
        <v>2</v>
      </c>
      <c r="M27" s="37">
        <f t="shared" si="1"/>
        <v>10</v>
      </c>
      <c r="N27" s="37">
        <v>50</v>
      </c>
      <c r="O27" s="43" t="s">
        <v>34</v>
      </c>
      <c r="P27" s="44">
        <v>1.4999999999999999E-2</v>
      </c>
      <c r="Q27" s="44">
        <f t="shared" si="2"/>
        <v>0.75</v>
      </c>
      <c r="R27" s="37"/>
      <c r="S27" s="37"/>
    </row>
    <row r="28" spans="1:19" ht="24">
      <c r="A28" s="2"/>
      <c r="B28" s="33">
        <f t="shared" si="0"/>
        <v>19</v>
      </c>
      <c r="C28" s="34" t="s">
        <v>124</v>
      </c>
      <c r="D28" s="35" t="s">
        <v>126</v>
      </c>
      <c r="E28" s="35" t="s">
        <v>127</v>
      </c>
      <c r="F28" s="35" t="s">
        <v>128</v>
      </c>
      <c r="G28" s="35" t="s">
        <v>129</v>
      </c>
      <c r="H28" s="35" t="s">
        <v>125</v>
      </c>
      <c r="I28" s="37" t="s">
        <v>31</v>
      </c>
      <c r="J28" s="35" t="s">
        <v>130</v>
      </c>
      <c r="K28" s="35" t="s">
        <v>31</v>
      </c>
      <c r="L28" s="35">
        <v>2</v>
      </c>
      <c r="M28" s="35">
        <f t="shared" si="1"/>
        <v>10</v>
      </c>
      <c r="N28" s="35">
        <v>20</v>
      </c>
      <c r="O28" s="41" t="s">
        <v>34</v>
      </c>
      <c r="P28" s="42">
        <v>3.0599999999999999E-2</v>
      </c>
      <c r="Q28" s="42">
        <f t="shared" si="2"/>
        <v>0.61199999999999999</v>
      </c>
      <c r="R28" s="35"/>
      <c r="S28" s="64"/>
    </row>
    <row r="29" spans="1:19" ht="24">
      <c r="A29" s="2"/>
      <c r="B29" s="36">
        <f t="shared" si="0"/>
        <v>20</v>
      </c>
      <c r="C29" s="38" t="s">
        <v>124</v>
      </c>
      <c r="D29" s="37" t="s">
        <v>131</v>
      </c>
      <c r="E29" s="37" t="s">
        <v>132</v>
      </c>
      <c r="F29" s="37" t="s">
        <v>133</v>
      </c>
      <c r="G29" s="37" t="s">
        <v>134</v>
      </c>
      <c r="H29" s="37" t="s">
        <v>135</v>
      </c>
      <c r="I29" s="37" t="s">
        <v>31</v>
      </c>
      <c r="J29" s="37" t="s">
        <v>136</v>
      </c>
      <c r="K29" s="35" t="s">
        <v>31</v>
      </c>
      <c r="L29" s="37">
        <v>1</v>
      </c>
      <c r="M29" s="37">
        <f t="shared" si="1"/>
        <v>5</v>
      </c>
      <c r="N29" s="37">
        <v>10</v>
      </c>
      <c r="O29" s="43" t="s">
        <v>34</v>
      </c>
      <c r="P29" s="44">
        <v>8.6400000000000005E-2</v>
      </c>
      <c r="Q29" s="44">
        <f t="shared" si="2"/>
        <v>0.8640000000000001</v>
      </c>
      <c r="R29" s="37"/>
      <c r="S29" s="37"/>
    </row>
    <row r="30" spans="1:19">
      <c r="A30" s="2"/>
      <c r="B30" s="33">
        <f t="shared" si="0"/>
        <v>21</v>
      </c>
      <c r="C30" s="34" t="s">
        <v>124</v>
      </c>
      <c r="D30" s="35" t="s">
        <v>137</v>
      </c>
      <c r="E30" s="35" t="s">
        <v>138</v>
      </c>
      <c r="F30" s="35" t="s">
        <v>139</v>
      </c>
      <c r="G30" s="35" t="s">
        <v>140</v>
      </c>
      <c r="H30" s="35" t="s">
        <v>141</v>
      </c>
      <c r="I30" s="37" t="s">
        <v>31</v>
      </c>
      <c r="J30" s="35" t="s">
        <v>142</v>
      </c>
      <c r="K30" s="35" t="s">
        <v>31</v>
      </c>
      <c r="L30" s="35">
        <v>1</v>
      </c>
      <c r="M30" s="35">
        <f t="shared" si="1"/>
        <v>5</v>
      </c>
      <c r="N30" s="35">
        <v>10</v>
      </c>
      <c r="O30" s="41" t="s">
        <v>34</v>
      </c>
      <c r="P30" s="42">
        <v>3.4200000000000001E-2</v>
      </c>
      <c r="Q30" s="42">
        <f t="shared" si="2"/>
        <v>0.34200000000000003</v>
      </c>
      <c r="R30" s="35"/>
      <c r="S30" s="64"/>
    </row>
    <row r="31" spans="1:19" ht="24">
      <c r="A31" s="2"/>
      <c r="B31" s="33">
        <f t="shared" si="0"/>
        <v>22</v>
      </c>
      <c r="C31" s="94" t="s">
        <v>124</v>
      </c>
      <c r="D31" s="93" t="s">
        <v>371</v>
      </c>
      <c r="E31" s="93" t="s">
        <v>372</v>
      </c>
      <c r="F31" s="93" t="s">
        <v>373</v>
      </c>
      <c r="G31" s="93" t="s">
        <v>374</v>
      </c>
      <c r="H31" s="93" t="s">
        <v>375</v>
      </c>
      <c r="I31" s="93" t="s">
        <v>31</v>
      </c>
      <c r="J31" s="93" t="s">
        <v>376</v>
      </c>
      <c r="K31" s="93" t="s">
        <v>31</v>
      </c>
      <c r="L31" s="93">
        <v>1</v>
      </c>
      <c r="M31" s="35">
        <f t="shared" si="1"/>
        <v>5</v>
      </c>
      <c r="N31" s="35">
        <v>20</v>
      </c>
      <c r="O31" s="41" t="s">
        <v>34</v>
      </c>
      <c r="P31" s="42">
        <v>2.3699999999999999E-2</v>
      </c>
      <c r="Q31" s="42">
        <f t="shared" si="2"/>
        <v>0.47399999999999998</v>
      </c>
      <c r="R31" s="35"/>
      <c r="S31" s="64"/>
    </row>
    <row r="32" spans="1:19" ht="24">
      <c r="A32" s="2"/>
      <c r="B32" s="36">
        <f t="shared" si="0"/>
        <v>23</v>
      </c>
      <c r="C32" s="38" t="s">
        <v>143</v>
      </c>
      <c r="D32" s="37" t="s">
        <v>144</v>
      </c>
      <c r="E32" s="37" t="s">
        <v>145</v>
      </c>
      <c r="F32" s="37" t="s">
        <v>146</v>
      </c>
      <c r="G32" s="37" t="s">
        <v>147</v>
      </c>
      <c r="H32" s="37" t="s">
        <v>148</v>
      </c>
      <c r="I32" s="37" t="s">
        <v>31</v>
      </c>
      <c r="J32" s="37" t="s">
        <v>149</v>
      </c>
      <c r="K32" s="35" t="s">
        <v>31</v>
      </c>
      <c r="L32" s="37">
        <v>1</v>
      </c>
      <c r="M32" s="37">
        <f t="shared" si="1"/>
        <v>5</v>
      </c>
      <c r="N32" s="37">
        <v>10</v>
      </c>
      <c r="O32" s="43" t="s">
        <v>34</v>
      </c>
      <c r="P32" s="44">
        <v>4.4299999999999999E-2</v>
      </c>
      <c r="Q32" s="44">
        <f t="shared" si="2"/>
        <v>0.443</v>
      </c>
      <c r="R32" s="37"/>
      <c r="S32" s="37"/>
    </row>
    <row r="33" spans="1:19">
      <c r="A33" s="2"/>
      <c r="B33" s="33">
        <f t="shared" si="0"/>
        <v>24</v>
      </c>
      <c r="C33" s="34" t="s">
        <v>150</v>
      </c>
      <c r="D33" s="35" t="s">
        <v>151</v>
      </c>
      <c r="E33" s="35" t="s">
        <v>152</v>
      </c>
      <c r="F33" s="35" t="s">
        <v>153</v>
      </c>
      <c r="G33" s="35" t="s">
        <v>154</v>
      </c>
      <c r="H33" s="35" t="s">
        <v>59</v>
      </c>
      <c r="I33" s="37" t="s">
        <v>31</v>
      </c>
      <c r="J33" s="35" t="s">
        <v>155</v>
      </c>
      <c r="K33" s="35" t="s">
        <v>31</v>
      </c>
      <c r="L33" s="35">
        <v>2</v>
      </c>
      <c r="M33" s="35">
        <f t="shared" si="1"/>
        <v>10</v>
      </c>
      <c r="N33" s="35">
        <v>100</v>
      </c>
      <c r="O33" s="41" t="s">
        <v>34</v>
      </c>
      <c r="P33" s="42">
        <v>5.7999999999999996E-3</v>
      </c>
      <c r="Q33" s="42">
        <f t="shared" si="2"/>
        <v>0.57999999999999996</v>
      </c>
      <c r="R33" s="35"/>
      <c r="S33" s="64"/>
    </row>
    <row r="34" spans="1:19" ht="25.5">
      <c r="A34" s="2"/>
      <c r="B34" s="36">
        <f t="shared" si="0"/>
        <v>25</v>
      </c>
      <c r="C34" s="38" t="s">
        <v>156</v>
      </c>
      <c r="D34" s="39" t="s">
        <v>157</v>
      </c>
      <c r="E34" s="39" t="s">
        <v>31</v>
      </c>
      <c r="F34" s="39" t="s">
        <v>158</v>
      </c>
      <c r="G34" s="39" t="s">
        <v>31</v>
      </c>
      <c r="H34" s="39" t="s">
        <v>31</v>
      </c>
      <c r="I34" s="39" t="s">
        <v>31</v>
      </c>
      <c r="J34" s="39" t="s">
        <v>31</v>
      </c>
      <c r="K34" s="40" t="s">
        <v>159</v>
      </c>
      <c r="L34" s="39">
        <v>6</v>
      </c>
      <c r="M34" s="39">
        <f t="shared" si="1"/>
        <v>30</v>
      </c>
      <c r="N34" s="39" t="s">
        <v>31</v>
      </c>
      <c r="O34" s="39" t="s">
        <v>31</v>
      </c>
      <c r="P34" s="47" t="s">
        <v>31</v>
      </c>
      <c r="Q34" s="47" t="s">
        <v>31</v>
      </c>
      <c r="R34" s="50" t="s">
        <v>160</v>
      </c>
      <c r="S34" s="37"/>
    </row>
    <row r="35" spans="1:19" ht="25.5">
      <c r="A35" s="2"/>
      <c r="B35" s="33">
        <f t="shared" si="0"/>
        <v>26</v>
      </c>
      <c r="C35" s="34" t="s">
        <v>161</v>
      </c>
      <c r="D35" s="40" t="s">
        <v>162</v>
      </c>
      <c r="E35" s="40" t="s">
        <v>163</v>
      </c>
      <c r="F35" s="40" t="s">
        <v>164</v>
      </c>
      <c r="G35" s="40" t="s">
        <v>31</v>
      </c>
      <c r="H35" s="40" t="s">
        <v>164</v>
      </c>
      <c r="I35" s="39" t="s">
        <v>31</v>
      </c>
      <c r="J35" s="40" t="s">
        <v>31</v>
      </c>
      <c r="K35" s="40" t="s">
        <v>159</v>
      </c>
      <c r="L35" s="40">
        <v>1</v>
      </c>
      <c r="M35" s="40">
        <f t="shared" si="1"/>
        <v>5</v>
      </c>
      <c r="N35" s="40" t="s">
        <v>31</v>
      </c>
      <c r="O35" s="39" t="s">
        <v>31</v>
      </c>
      <c r="P35" s="47" t="s">
        <v>31</v>
      </c>
      <c r="Q35" s="47" t="s">
        <v>31</v>
      </c>
      <c r="R35" s="50" t="s">
        <v>160</v>
      </c>
      <c r="S35" s="64"/>
    </row>
    <row r="36" spans="1:19">
      <c r="A36" s="2"/>
      <c r="B36" s="36">
        <f t="shared" si="0"/>
        <v>27</v>
      </c>
      <c r="C36" s="38" t="s">
        <v>165</v>
      </c>
      <c r="D36" s="37" t="s">
        <v>166</v>
      </c>
      <c r="E36" s="37" t="s">
        <v>167</v>
      </c>
      <c r="F36" s="37" t="s">
        <v>168</v>
      </c>
      <c r="G36" s="37" t="s">
        <v>169</v>
      </c>
      <c r="H36" s="37" t="s">
        <v>170</v>
      </c>
      <c r="I36" s="37" t="s">
        <v>31</v>
      </c>
      <c r="J36" s="37" t="s">
        <v>171</v>
      </c>
      <c r="K36" s="37" t="s">
        <v>31</v>
      </c>
      <c r="L36" s="37">
        <v>1</v>
      </c>
      <c r="M36" s="37">
        <f t="shared" si="1"/>
        <v>5</v>
      </c>
      <c r="N36" s="37">
        <v>10</v>
      </c>
      <c r="O36" s="43" t="s">
        <v>34</v>
      </c>
      <c r="P36" s="44">
        <v>0.2029</v>
      </c>
      <c r="Q36" s="44">
        <f t="shared" si="2"/>
        <v>2.0289999999999999</v>
      </c>
      <c r="R36" s="37"/>
      <c r="S36" s="37"/>
    </row>
    <row r="37" spans="1:19" ht="24">
      <c r="A37" s="2"/>
      <c r="B37" s="33">
        <f t="shared" si="0"/>
        <v>28</v>
      </c>
      <c r="C37" s="34" t="s">
        <v>172</v>
      </c>
      <c r="D37" s="35" t="s">
        <v>173</v>
      </c>
      <c r="E37" s="35" t="s">
        <v>174</v>
      </c>
      <c r="F37" s="37" t="s">
        <v>168</v>
      </c>
      <c r="G37" s="35" t="s">
        <v>175</v>
      </c>
      <c r="H37" s="35" t="s">
        <v>176</v>
      </c>
      <c r="I37" s="37" t="s">
        <v>31</v>
      </c>
      <c r="J37" s="35" t="s">
        <v>177</v>
      </c>
      <c r="K37" s="37" t="s">
        <v>31</v>
      </c>
      <c r="L37" s="35">
        <v>1</v>
      </c>
      <c r="M37" s="35">
        <f t="shared" si="1"/>
        <v>5</v>
      </c>
      <c r="N37" s="35">
        <v>10</v>
      </c>
      <c r="O37" s="41" t="s">
        <v>34</v>
      </c>
      <c r="P37" s="42">
        <v>0.13009999999999999</v>
      </c>
      <c r="Q37" s="42">
        <f t="shared" si="2"/>
        <v>1.3009999999999999</v>
      </c>
      <c r="R37" s="35"/>
      <c r="S37" s="64"/>
    </row>
    <row r="38" spans="1:19">
      <c r="A38" s="2"/>
      <c r="B38" s="36">
        <f t="shared" si="0"/>
        <v>29</v>
      </c>
      <c r="C38" s="38" t="s">
        <v>178</v>
      </c>
      <c r="D38" s="37" t="s">
        <v>179</v>
      </c>
      <c r="E38" s="37" t="s">
        <v>180</v>
      </c>
      <c r="F38" s="37" t="s">
        <v>181</v>
      </c>
      <c r="G38" s="37">
        <v>8266292</v>
      </c>
      <c r="H38" s="37" t="s">
        <v>182</v>
      </c>
      <c r="I38" s="37" t="s">
        <v>31</v>
      </c>
      <c r="J38" s="37" t="s">
        <v>183</v>
      </c>
      <c r="K38" s="37" t="s">
        <v>31</v>
      </c>
      <c r="L38" s="37">
        <v>1</v>
      </c>
      <c r="M38" s="37">
        <f t="shared" si="1"/>
        <v>5</v>
      </c>
      <c r="N38" s="37">
        <v>6</v>
      </c>
      <c r="O38" s="43" t="s">
        <v>34</v>
      </c>
      <c r="P38" s="44">
        <v>0.3165</v>
      </c>
      <c r="Q38" s="44">
        <f t="shared" si="2"/>
        <v>1.899</v>
      </c>
      <c r="R38" s="37"/>
      <c r="S38" s="37"/>
    </row>
    <row r="39" spans="1:19">
      <c r="A39" s="2"/>
      <c r="B39" s="33">
        <f t="shared" si="0"/>
        <v>30</v>
      </c>
      <c r="C39" s="34" t="s">
        <v>184</v>
      </c>
      <c r="D39" s="35" t="s">
        <v>185</v>
      </c>
      <c r="E39" s="35" t="s">
        <v>186</v>
      </c>
      <c r="F39" s="35" t="s">
        <v>187</v>
      </c>
      <c r="G39" s="35" t="s">
        <v>188</v>
      </c>
      <c r="H39" s="35" t="s">
        <v>59</v>
      </c>
      <c r="I39" s="37" t="s">
        <v>31</v>
      </c>
      <c r="J39" s="35" t="s">
        <v>189</v>
      </c>
      <c r="K39" s="35" t="s">
        <v>190</v>
      </c>
      <c r="L39" s="35">
        <v>1</v>
      </c>
      <c r="M39" s="35">
        <f t="shared" si="1"/>
        <v>5</v>
      </c>
      <c r="N39" s="35">
        <v>10</v>
      </c>
      <c r="O39" s="41" t="s">
        <v>34</v>
      </c>
      <c r="P39" s="42">
        <v>0.2006</v>
      </c>
      <c r="Q39" s="42">
        <f t="shared" si="2"/>
        <v>2.0060000000000002</v>
      </c>
      <c r="R39" s="35"/>
      <c r="S39" s="64"/>
    </row>
    <row r="40" spans="1:19">
      <c r="A40" s="2"/>
      <c r="B40" s="36">
        <f t="shared" si="0"/>
        <v>31</v>
      </c>
      <c r="C40" s="38" t="s">
        <v>184</v>
      </c>
      <c r="D40" s="37" t="s">
        <v>191</v>
      </c>
      <c r="E40" s="37" t="s">
        <v>192</v>
      </c>
      <c r="F40" s="37" t="s">
        <v>168</v>
      </c>
      <c r="G40" s="37" t="s">
        <v>193</v>
      </c>
      <c r="H40" s="37" t="s">
        <v>194</v>
      </c>
      <c r="I40" s="37" t="s">
        <v>31</v>
      </c>
      <c r="J40" s="37" t="s">
        <v>195</v>
      </c>
      <c r="K40" s="37" t="s">
        <v>196</v>
      </c>
      <c r="L40" s="37">
        <v>1</v>
      </c>
      <c r="M40" s="37">
        <f t="shared" si="1"/>
        <v>5</v>
      </c>
      <c r="N40" s="37">
        <v>10</v>
      </c>
      <c r="O40" s="43" t="s">
        <v>34</v>
      </c>
      <c r="P40" s="44">
        <v>6.6799999999999998E-2</v>
      </c>
      <c r="Q40" s="44">
        <f t="shared" si="2"/>
        <v>0.66799999999999993</v>
      </c>
      <c r="R40" s="37"/>
      <c r="S40" s="37"/>
    </row>
    <row r="41" spans="1:19" ht="36">
      <c r="A41" s="2"/>
      <c r="B41" s="33">
        <f t="shared" si="0"/>
        <v>32</v>
      </c>
      <c r="C41" s="34" t="s">
        <v>184</v>
      </c>
      <c r="D41" s="35" t="s">
        <v>197</v>
      </c>
      <c r="E41" s="35" t="s">
        <v>198</v>
      </c>
      <c r="F41" s="37" t="s">
        <v>168</v>
      </c>
      <c r="G41" s="35" t="s">
        <v>199</v>
      </c>
      <c r="H41" s="35" t="s">
        <v>200</v>
      </c>
      <c r="I41" s="37" t="s">
        <v>31</v>
      </c>
      <c r="J41" s="35" t="s">
        <v>201</v>
      </c>
      <c r="K41" s="35" t="s">
        <v>202</v>
      </c>
      <c r="L41" s="35">
        <v>1</v>
      </c>
      <c r="M41" s="35">
        <f t="shared" si="1"/>
        <v>5</v>
      </c>
      <c r="N41" s="35">
        <v>10</v>
      </c>
      <c r="O41" s="41" t="s">
        <v>34</v>
      </c>
      <c r="P41" s="42">
        <v>0.1326</v>
      </c>
      <c r="Q41" s="42">
        <f t="shared" si="2"/>
        <v>1.3260000000000001</v>
      </c>
      <c r="R41" s="35"/>
      <c r="S41" s="64"/>
    </row>
    <row r="42" spans="1:19" ht="24">
      <c r="A42" s="2"/>
      <c r="B42" s="36">
        <f t="shared" si="0"/>
        <v>33</v>
      </c>
      <c r="C42" s="38" t="s">
        <v>203</v>
      </c>
      <c r="D42" s="37" t="s">
        <v>204</v>
      </c>
      <c r="E42" s="37" t="s">
        <v>205</v>
      </c>
      <c r="F42" s="37" t="s">
        <v>206</v>
      </c>
      <c r="G42" s="37" t="s">
        <v>207</v>
      </c>
      <c r="H42" s="37" t="s">
        <v>208</v>
      </c>
      <c r="I42" s="37" t="s">
        <v>31</v>
      </c>
      <c r="J42" s="37" t="s">
        <v>209</v>
      </c>
      <c r="K42" s="37" t="s">
        <v>31</v>
      </c>
      <c r="L42" s="37">
        <v>1</v>
      </c>
      <c r="M42" s="37">
        <f t="shared" si="1"/>
        <v>5</v>
      </c>
      <c r="N42" s="37">
        <v>20</v>
      </c>
      <c r="O42" s="43" t="s">
        <v>34</v>
      </c>
      <c r="P42" s="44">
        <v>2.0799999999999999E-2</v>
      </c>
      <c r="Q42" s="44">
        <f t="shared" si="2"/>
        <v>0.41599999999999998</v>
      </c>
      <c r="R42" s="37"/>
      <c r="S42" s="37"/>
    </row>
    <row r="43" spans="1:19" ht="48">
      <c r="A43" s="2"/>
      <c r="B43" s="33">
        <f t="shared" si="0"/>
        <v>34</v>
      </c>
      <c r="C43" s="38" t="s">
        <v>203</v>
      </c>
      <c r="D43" s="35" t="s">
        <v>210</v>
      </c>
      <c r="E43" s="35" t="s">
        <v>211</v>
      </c>
      <c r="F43" s="35" t="s">
        <v>212</v>
      </c>
      <c r="G43" s="35" t="s">
        <v>213</v>
      </c>
      <c r="H43" s="35" t="s">
        <v>214</v>
      </c>
      <c r="I43" s="37" t="s">
        <v>31</v>
      </c>
      <c r="J43" s="35" t="s">
        <v>215</v>
      </c>
      <c r="K43" s="37" t="s">
        <v>31</v>
      </c>
      <c r="L43" s="35">
        <v>1</v>
      </c>
      <c r="M43" s="35">
        <f t="shared" si="1"/>
        <v>5</v>
      </c>
      <c r="N43" s="35">
        <v>100</v>
      </c>
      <c r="O43" s="41" t="s">
        <v>34</v>
      </c>
      <c r="P43" s="42">
        <v>6.7999999999999996E-3</v>
      </c>
      <c r="Q43" s="42">
        <f t="shared" si="2"/>
        <v>0.67999999999999994</v>
      </c>
      <c r="R43" s="35"/>
      <c r="S43" s="64"/>
    </row>
    <row r="44" spans="1:19">
      <c r="A44" s="2"/>
      <c r="B44" s="36">
        <f t="shared" si="0"/>
        <v>35</v>
      </c>
      <c r="C44" s="38" t="s">
        <v>216</v>
      </c>
      <c r="D44" s="39" t="s">
        <v>217</v>
      </c>
      <c r="E44" s="39" t="s">
        <v>31</v>
      </c>
      <c r="F44" s="39" t="s">
        <v>218</v>
      </c>
      <c r="G44" s="39" t="s">
        <v>31</v>
      </c>
      <c r="H44" s="39" t="s">
        <v>31</v>
      </c>
      <c r="I44" s="39" t="s">
        <v>31</v>
      </c>
      <c r="J44" s="39" t="s">
        <v>31</v>
      </c>
      <c r="K44" s="39" t="s">
        <v>31</v>
      </c>
      <c r="L44" s="39">
        <v>1</v>
      </c>
      <c r="M44" s="39">
        <f t="shared" si="1"/>
        <v>5</v>
      </c>
      <c r="N44" s="39" t="s">
        <v>31</v>
      </c>
      <c r="O44" s="39" t="s">
        <v>31</v>
      </c>
      <c r="P44" s="47" t="s">
        <v>31</v>
      </c>
      <c r="Q44" s="47" t="s">
        <v>31</v>
      </c>
      <c r="R44" s="39"/>
      <c r="S44" s="37"/>
    </row>
    <row r="45" spans="1:19" ht="36">
      <c r="A45" s="2"/>
      <c r="B45" s="33">
        <f t="shared" si="0"/>
        <v>36</v>
      </c>
      <c r="C45" s="34" t="s">
        <v>219</v>
      </c>
      <c r="D45" s="35" t="s">
        <v>220</v>
      </c>
      <c r="E45" s="35" t="s">
        <v>221</v>
      </c>
      <c r="F45" s="35" t="s">
        <v>222</v>
      </c>
      <c r="G45" s="35" t="s">
        <v>223</v>
      </c>
      <c r="H45" s="35" t="s">
        <v>224</v>
      </c>
      <c r="I45" s="37" t="s">
        <v>31</v>
      </c>
      <c r="J45" s="35" t="s">
        <v>225</v>
      </c>
      <c r="K45" s="37" t="s">
        <v>31</v>
      </c>
      <c r="L45" s="35">
        <v>1</v>
      </c>
      <c r="M45" s="35">
        <f t="shared" si="1"/>
        <v>5</v>
      </c>
      <c r="N45" s="35">
        <v>20</v>
      </c>
      <c r="O45" s="41" t="s">
        <v>34</v>
      </c>
      <c r="P45" s="42">
        <v>3.04E-2</v>
      </c>
      <c r="Q45" s="42">
        <f t="shared" si="2"/>
        <v>0.60799999999999998</v>
      </c>
      <c r="R45" s="35"/>
      <c r="S45" s="64"/>
    </row>
    <row r="46" spans="1:19" ht="48">
      <c r="A46" s="2"/>
      <c r="B46" s="36">
        <f t="shared" si="0"/>
        <v>37</v>
      </c>
      <c r="C46" s="38" t="s">
        <v>219</v>
      </c>
      <c r="D46" s="37" t="s">
        <v>226</v>
      </c>
      <c r="E46" s="37" t="s">
        <v>227</v>
      </c>
      <c r="F46" s="37" t="s">
        <v>228</v>
      </c>
      <c r="G46" s="37" t="s">
        <v>229</v>
      </c>
      <c r="H46" s="37" t="s">
        <v>230</v>
      </c>
      <c r="I46" s="37" t="s">
        <v>31</v>
      </c>
      <c r="J46" s="37" t="s">
        <v>231</v>
      </c>
      <c r="K46" s="37" t="s">
        <v>31</v>
      </c>
      <c r="L46" s="37">
        <v>1</v>
      </c>
      <c r="M46" s="37">
        <f t="shared" si="1"/>
        <v>5</v>
      </c>
      <c r="N46" s="37">
        <v>20</v>
      </c>
      <c r="O46" s="43" t="s">
        <v>34</v>
      </c>
      <c r="P46" s="44">
        <v>3.3500000000000002E-2</v>
      </c>
      <c r="Q46" s="44">
        <f t="shared" si="2"/>
        <v>0.67</v>
      </c>
      <c r="R46" s="37"/>
      <c r="S46" s="37"/>
    </row>
    <row r="47" spans="1:19">
      <c r="A47" s="2"/>
      <c r="B47" s="33">
        <f t="shared" si="0"/>
        <v>38</v>
      </c>
      <c r="C47" s="38" t="s">
        <v>232</v>
      </c>
      <c r="D47" s="35" t="s">
        <v>233</v>
      </c>
      <c r="E47" s="35" t="s">
        <v>234</v>
      </c>
      <c r="F47" s="35" t="s">
        <v>235</v>
      </c>
      <c r="G47" s="35" t="s">
        <v>236</v>
      </c>
      <c r="H47" s="35" t="s">
        <v>30</v>
      </c>
      <c r="I47" s="37" t="s">
        <v>31</v>
      </c>
      <c r="J47" s="35" t="s">
        <v>237</v>
      </c>
      <c r="K47" s="35" t="s">
        <v>238</v>
      </c>
      <c r="L47" s="35">
        <v>2</v>
      </c>
      <c r="M47" s="35">
        <f t="shared" si="1"/>
        <v>10</v>
      </c>
      <c r="N47" s="35">
        <v>100</v>
      </c>
      <c r="O47" s="41" t="s">
        <v>34</v>
      </c>
      <c r="P47" s="42">
        <v>8.0000000000000004E-4</v>
      </c>
      <c r="Q47" s="42">
        <f t="shared" si="2"/>
        <v>0.08</v>
      </c>
      <c r="R47" s="35"/>
      <c r="S47" s="64"/>
    </row>
    <row r="48" spans="1:19">
      <c r="A48" s="2"/>
      <c r="B48" s="36">
        <f t="shared" si="0"/>
        <v>39</v>
      </c>
      <c r="C48" s="38" t="s">
        <v>232</v>
      </c>
      <c r="D48" s="37" t="s">
        <v>239</v>
      </c>
      <c r="E48" s="37" t="s">
        <v>240</v>
      </c>
      <c r="F48" s="37" t="s">
        <v>241</v>
      </c>
      <c r="G48" s="37" t="s">
        <v>242</v>
      </c>
      <c r="H48" s="37" t="s">
        <v>30</v>
      </c>
      <c r="I48" s="37" t="s">
        <v>31</v>
      </c>
      <c r="J48" s="37" t="s">
        <v>243</v>
      </c>
      <c r="K48" s="37" t="s">
        <v>244</v>
      </c>
      <c r="L48" s="37">
        <v>2</v>
      </c>
      <c r="M48" s="37">
        <f t="shared" si="1"/>
        <v>10</v>
      </c>
      <c r="N48" s="37">
        <v>20</v>
      </c>
      <c r="O48" s="43" t="s">
        <v>34</v>
      </c>
      <c r="P48" s="44">
        <v>2.1700000000000001E-2</v>
      </c>
      <c r="Q48" s="44">
        <f t="shared" si="2"/>
        <v>0.434</v>
      </c>
      <c r="R48" s="37"/>
      <c r="S48" s="37"/>
    </row>
    <row r="49" spans="1:22">
      <c r="A49" s="2"/>
      <c r="B49" s="33">
        <f t="shared" si="0"/>
        <v>40</v>
      </c>
      <c r="C49" s="38" t="s">
        <v>232</v>
      </c>
      <c r="D49" s="35" t="s">
        <v>245</v>
      </c>
      <c r="E49" s="35" t="s">
        <v>246</v>
      </c>
      <c r="F49" s="35" t="s">
        <v>247</v>
      </c>
      <c r="G49" s="35" t="s">
        <v>248</v>
      </c>
      <c r="H49" s="35" t="s">
        <v>30</v>
      </c>
      <c r="I49" s="37" t="s">
        <v>31</v>
      </c>
      <c r="J49" s="35" t="s">
        <v>249</v>
      </c>
      <c r="K49" s="35" t="s">
        <v>250</v>
      </c>
      <c r="L49" s="35">
        <v>5</v>
      </c>
      <c r="M49" s="35">
        <f t="shared" si="1"/>
        <v>25</v>
      </c>
      <c r="N49" s="35">
        <v>40</v>
      </c>
      <c r="O49" s="41" t="s">
        <v>34</v>
      </c>
      <c r="P49" s="42">
        <v>1.41E-2</v>
      </c>
      <c r="Q49" s="42">
        <f t="shared" si="2"/>
        <v>0.56399999999999995</v>
      </c>
      <c r="R49" s="35"/>
      <c r="S49" s="64"/>
    </row>
    <row r="50" spans="1:22">
      <c r="A50" s="2"/>
      <c r="B50" s="36">
        <f t="shared" si="0"/>
        <v>41</v>
      </c>
      <c r="C50" s="38" t="s">
        <v>232</v>
      </c>
      <c r="D50" s="37" t="s">
        <v>251</v>
      </c>
      <c r="E50" s="37" t="s">
        <v>252</v>
      </c>
      <c r="F50" s="37" t="s">
        <v>247</v>
      </c>
      <c r="G50" s="37" t="s">
        <v>253</v>
      </c>
      <c r="H50" s="37" t="s">
        <v>30</v>
      </c>
      <c r="I50" s="37" t="s">
        <v>31</v>
      </c>
      <c r="J50" s="37" t="s">
        <v>254</v>
      </c>
      <c r="K50" s="37" t="s">
        <v>255</v>
      </c>
      <c r="L50" s="37">
        <v>2</v>
      </c>
      <c r="M50" s="37">
        <f t="shared" si="1"/>
        <v>10</v>
      </c>
      <c r="N50" s="37">
        <v>100</v>
      </c>
      <c r="O50" s="43" t="s">
        <v>34</v>
      </c>
      <c r="P50" s="44">
        <v>5.9999999999999995E-4</v>
      </c>
      <c r="Q50" s="44">
        <f t="shared" si="2"/>
        <v>0.06</v>
      </c>
      <c r="R50" s="37"/>
      <c r="S50" s="37"/>
    </row>
    <row r="51" spans="1:22">
      <c r="A51" s="2"/>
      <c r="B51" s="33">
        <f t="shared" si="0"/>
        <v>42</v>
      </c>
      <c r="C51" s="34" t="s">
        <v>232</v>
      </c>
      <c r="D51" s="35" t="s">
        <v>256</v>
      </c>
      <c r="E51" s="35" t="s">
        <v>257</v>
      </c>
      <c r="F51" s="35" t="s">
        <v>241</v>
      </c>
      <c r="G51" s="35" t="s">
        <v>258</v>
      </c>
      <c r="H51" s="35" t="s">
        <v>30</v>
      </c>
      <c r="I51" s="37" t="s">
        <v>31</v>
      </c>
      <c r="J51" s="35" t="s">
        <v>259</v>
      </c>
      <c r="K51" s="35" t="s">
        <v>260</v>
      </c>
      <c r="L51" s="35">
        <v>1</v>
      </c>
      <c r="M51" s="35">
        <f t="shared" si="1"/>
        <v>5</v>
      </c>
      <c r="N51" s="35">
        <v>100</v>
      </c>
      <c r="O51" s="41" t="s">
        <v>34</v>
      </c>
      <c r="P51" s="42">
        <v>1E-3</v>
      </c>
      <c r="Q51" s="42">
        <f t="shared" si="2"/>
        <v>0.1</v>
      </c>
      <c r="R51" s="35"/>
      <c r="S51" s="64"/>
    </row>
    <row r="52" spans="1:22">
      <c r="A52" s="2"/>
      <c r="B52" s="36">
        <f t="shared" si="0"/>
        <v>43</v>
      </c>
      <c r="C52" s="38" t="s">
        <v>232</v>
      </c>
      <c r="D52" s="37" t="s">
        <v>261</v>
      </c>
      <c r="E52" s="37" t="s">
        <v>262</v>
      </c>
      <c r="F52" s="37" t="s">
        <v>241</v>
      </c>
      <c r="G52" s="37" t="s">
        <v>263</v>
      </c>
      <c r="H52" s="37" t="s">
        <v>30</v>
      </c>
      <c r="I52" s="37" t="s">
        <v>31</v>
      </c>
      <c r="J52" s="37" t="s">
        <v>264</v>
      </c>
      <c r="K52" s="37" t="s">
        <v>265</v>
      </c>
      <c r="L52" s="37">
        <v>3</v>
      </c>
      <c r="M52" s="37">
        <f t="shared" si="1"/>
        <v>15</v>
      </c>
      <c r="N52" s="37">
        <v>100</v>
      </c>
      <c r="O52" s="43" t="s">
        <v>34</v>
      </c>
      <c r="P52" s="44">
        <v>1.1000000000000001E-3</v>
      </c>
      <c r="Q52" s="44">
        <f t="shared" si="2"/>
        <v>0.11</v>
      </c>
      <c r="R52" s="37"/>
      <c r="S52" s="37"/>
    </row>
    <row r="53" spans="1:22" ht="36">
      <c r="A53" s="2"/>
      <c r="B53" s="33">
        <f t="shared" si="0"/>
        <v>44</v>
      </c>
      <c r="C53" s="34" t="s">
        <v>232</v>
      </c>
      <c r="D53" s="35" t="s">
        <v>266</v>
      </c>
      <c r="E53" s="35" t="s">
        <v>267</v>
      </c>
      <c r="F53" s="35" t="s">
        <v>268</v>
      </c>
      <c r="G53" s="35" t="s">
        <v>269</v>
      </c>
      <c r="H53" s="35" t="s">
        <v>270</v>
      </c>
      <c r="I53" s="37" t="s">
        <v>31</v>
      </c>
      <c r="J53" s="35" t="s">
        <v>271</v>
      </c>
      <c r="K53" s="35" t="s">
        <v>272</v>
      </c>
      <c r="L53" s="35">
        <v>3</v>
      </c>
      <c r="M53" s="35">
        <f t="shared" si="1"/>
        <v>15</v>
      </c>
      <c r="N53" s="35">
        <v>100</v>
      </c>
      <c r="O53" s="41" t="s">
        <v>34</v>
      </c>
      <c r="P53" s="42">
        <v>4.4999999999999997E-3</v>
      </c>
      <c r="Q53" s="42">
        <f t="shared" si="2"/>
        <v>0.44999999999999996</v>
      </c>
      <c r="R53" s="35"/>
      <c r="S53" s="64"/>
    </row>
    <row r="54" spans="1:22">
      <c r="A54" s="2"/>
      <c r="B54" s="36">
        <f t="shared" si="0"/>
        <v>45</v>
      </c>
      <c r="C54" s="34" t="s">
        <v>232</v>
      </c>
      <c r="D54" s="37" t="s">
        <v>273</v>
      </c>
      <c r="E54" s="37" t="s">
        <v>274</v>
      </c>
      <c r="F54" s="37" t="s">
        <v>241</v>
      </c>
      <c r="G54" s="37" t="s">
        <v>275</v>
      </c>
      <c r="H54" s="37" t="s">
        <v>30</v>
      </c>
      <c r="I54" s="37" t="s">
        <v>31</v>
      </c>
      <c r="J54" s="37" t="s">
        <v>276</v>
      </c>
      <c r="K54" s="37" t="s">
        <v>277</v>
      </c>
      <c r="L54" s="37">
        <v>1</v>
      </c>
      <c r="M54" s="37">
        <f t="shared" si="1"/>
        <v>5</v>
      </c>
      <c r="N54" s="37">
        <v>100</v>
      </c>
      <c r="O54" s="43" t="s">
        <v>34</v>
      </c>
      <c r="P54" s="44">
        <v>1.1999999999999999E-3</v>
      </c>
      <c r="Q54" s="44">
        <f t="shared" si="2"/>
        <v>0.12</v>
      </c>
      <c r="R54" s="37"/>
      <c r="S54" s="37"/>
    </row>
    <row r="55" spans="1:22">
      <c r="A55" s="2"/>
      <c r="B55" s="33">
        <f t="shared" si="0"/>
        <v>46</v>
      </c>
      <c r="C55" s="34" t="s">
        <v>232</v>
      </c>
      <c r="D55" s="35" t="s">
        <v>278</v>
      </c>
      <c r="E55" s="35" t="s">
        <v>279</v>
      </c>
      <c r="F55" s="35" t="s">
        <v>241</v>
      </c>
      <c r="G55" s="35" t="s">
        <v>280</v>
      </c>
      <c r="H55" s="35" t="s">
        <v>30</v>
      </c>
      <c r="I55" s="37" t="s">
        <v>31</v>
      </c>
      <c r="J55" s="35" t="s">
        <v>281</v>
      </c>
      <c r="K55" s="35" t="s">
        <v>282</v>
      </c>
      <c r="L55" s="35">
        <v>1</v>
      </c>
      <c r="M55" s="35">
        <f t="shared" si="1"/>
        <v>5</v>
      </c>
      <c r="N55" s="35">
        <v>100</v>
      </c>
      <c r="O55" s="41" t="s">
        <v>34</v>
      </c>
      <c r="P55" s="42">
        <v>2.0999999999999999E-3</v>
      </c>
      <c r="Q55" s="42">
        <f t="shared" si="2"/>
        <v>0.21</v>
      </c>
      <c r="R55" s="35"/>
      <c r="S55" s="64"/>
    </row>
    <row r="56" spans="1:22">
      <c r="A56" s="2"/>
      <c r="B56" s="36">
        <f t="shared" si="0"/>
        <v>47</v>
      </c>
      <c r="C56" s="34" t="s">
        <v>232</v>
      </c>
      <c r="D56" s="37" t="s">
        <v>283</v>
      </c>
      <c r="E56" s="37" t="s">
        <v>284</v>
      </c>
      <c r="F56" s="37" t="s">
        <v>241</v>
      </c>
      <c r="G56" s="37" t="s">
        <v>285</v>
      </c>
      <c r="H56" s="37" t="s">
        <v>30</v>
      </c>
      <c r="I56" s="37" t="s">
        <v>31</v>
      </c>
      <c r="J56" s="37" t="s">
        <v>286</v>
      </c>
      <c r="K56" s="37" t="s">
        <v>287</v>
      </c>
      <c r="L56" s="37">
        <v>1</v>
      </c>
      <c r="M56" s="37">
        <f t="shared" si="1"/>
        <v>5</v>
      </c>
      <c r="N56" s="37">
        <v>20</v>
      </c>
      <c r="O56" s="43" t="s">
        <v>34</v>
      </c>
      <c r="P56" s="44">
        <v>3.7499999999999999E-2</v>
      </c>
      <c r="Q56" s="44">
        <f t="shared" si="2"/>
        <v>0.75</v>
      </c>
      <c r="R56" s="37"/>
      <c r="S56" s="37"/>
    </row>
    <row r="57" spans="1:22">
      <c r="A57" s="2"/>
      <c r="B57" s="36">
        <f t="shared" si="0"/>
        <v>48</v>
      </c>
      <c r="C57" s="94" t="s">
        <v>232</v>
      </c>
      <c r="D57" s="93" t="s">
        <v>377</v>
      </c>
      <c r="E57" s="93" t="s">
        <v>378</v>
      </c>
      <c r="F57" s="93" t="s">
        <v>241</v>
      </c>
      <c r="G57" s="39" t="s">
        <v>379</v>
      </c>
      <c r="H57" s="93" t="s">
        <v>30</v>
      </c>
      <c r="I57" s="93" t="s">
        <v>381</v>
      </c>
      <c r="J57" s="93" t="s">
        <v>382</v>
      </c>
      <c r="K57" s="93" t="s">
        <v>380</v>
      </c>
      <c r="L57" s="35">
        <v>1</v>
      </c>
      <c r="M57" s="35">
        <f t="shared" si="1"/>
        <v>5</v>
      </c>
      <c r="N57" s="35">
        <v>100</v>
      </c>
      <c r="O57" s="41" t="s">
        <v>34</v>
      </c>
      <c r="P57" s="42">
        <v>1E-3</v>
      </c>
      <c r="Q57" s="44">
        <f t="shared" si="2"/>
        <v>0.1</v>
      </c>
      <c r="R57" s="35"/>
      <c r="S57" s="35"/>
    </row>
    <row r="58" spans="1:22">
      <c r="A58" s="2"/>
      <c r="B58" s="33">
        <f t="shared" si="0"/>
        <v>49</v>
      </c>
      <c r="C58" s="34" t="s">
        <v>288</v>
      </c>
      <c r="D58" s="35" t="s">
        <v>289</v>
      </c>
      <c r="E58" s="35" t="s">
        <v>290</v>
      </c>
      <c r="F58" s="35" t="s">
        <v>291</v>
      </c>
      <c r="G58" s="35" t="s">
        <v>291</v>
      </c>
      <c r="H58" s="35" t="s">
        <v>292</v>
      </c>
      <c r="I58" s="37" t="s">
        <v>31</v>
      </c>
      <c r="J58" s="35" t="s">
        <v>293</v>
      </c>
      <c r="K58" s="35" t="s">
        <v>31</v>
      </c>
      <c r="L58" s="35">
        <v>2</v>
      </c>
      <c r="M58" s="35">
        <f t="shared" si="1"/>
        <v>10</v>
      </c>
      <c r="N58" s="35">
        <v>15</v>
      </c>
      <c r="O58" s="41" t="s">
        <v>34</v>
      </c>
      <c r="P58" s="42">
        <v>0.1729</v>
      </c>
      <c r="Q58" s="42">
        <f t="shared" si="2"/>
        <v>2.5935000000000001</v>
      </c>
      <c r="R58" s="35"/>
      <c r="S58" s="64"/>
    </row>
    <row r="59" spans="1:22" s="1" customFormat="1">
      <c r="A59" s="32"/>
      <c r="B59" s="36">
        <f t="shared" si="0"/>
        <v>50</v>
      </c>
      <c r="C59" s="34" t="s">
        <v>294</v>
      </c>
      <c r="D59" s="37" t="s">
        <v>295</v>
      </c>
      <c r="E59" s="37" t="s">
        <v>296</v>
      </c>
      <c r="F59" s="37" t="s">
        <v>297</v>
      </c>
      <c r="G59" s="37" t="s">
        <v>298</v>
      </c>
      <c r="H59" s="37" t="s">
        <v>299</v>
      </c>
      <c r="I59" s="37" t="s">
        <v>31</v>
      </c>
      <c r="J59" s="37" t="s">
        <v>31</v>
      </c>
      <c r="K59" s="37" t="s">
        <v>31</v>
      </c>
      <c r="L59" s="37">
        <v>1</v>
      </c>
      <c r="M59" s="37">
        <f t="shared" si="1"/>
        <v>5</v>
      </c>
      <c r="N59" s="37">
        <v>6</v>
      </c>
      <c r="O59" s="43" t="s">
        <v>311</v>
      </c>
      <c r="P59" s="44">
        <v>16.25</v>
      </c>
      <c r="Q59" s="44">
        <f t="shared" si="2"/>
        <v>97.5</v>
      </c>
      <c r="R59" s="37"/>
      <c r="S59" s="37"/>
      <c r="U59"/>
      <c r="V59"/>
    </row>
    <row r="60" spans="1:22">
      <c r="A60" s="2"/>
      <c r="B60" s="33">
        <f t="shared" si="0"/>
        <v>51</v>
      </c>
      <c r="C60" s="34" t="s">
        <v>294</v>
      </c>
      <c r="D60" s="35" t="s">
        <v>300</v>
      </c>
      <c r="E60" s="35" t="s">
        <v>301</v>
      </c>
      <c r="F60" s="35" t="s">
        <v>302</v>
      </c>
      <c r="G60" s="35" t="s">
        <v>303</v>
      </c>
      <c r="H60" s="35" t="s">
        <v>304</v>
      </c>
      <c r="I60" s="37" t="s">
        <v>31</v>
      </c>
      <c r="J60" s="35" t="s">
        <v>305</v>
      </c>
      <c r="K60" s="35" t="s">
        <v>31</v>
      </c>
      <c r="L60" s="35">
        <v>1</v>
      </c>
      <c r="M60" s="35">
        <f t="shared" si="1"/>
        <v>5</v>
      </c>
      <c r="N60" s="35">
        <v>6</v>
      </c>
      <c r="O60" s="41" t="s">
        <v>34</v>
      </c>
      <c r="P60" s="42">
        <v>0.81299999999999994</v>
      </c>
      <c r="Q60" s="42">
        <f t="shared" si="2"/>
        <v>4.8780000000000001</v>
      </c>
      <c r="R60" s="35"/>
      <c r="S60" s="64"/>
    </row>
    <row r="61" spans="1:22">
      <c r="A61" s="2"/>
      <c r="B61" s="36">
        <f t="shared" si="0"/>
        <v>52</v>
      </c>
      <c r="C61" s="34" t="s">
        <v>294</v>
      </c>
      <c r="D61" s="37" t="s">
        <v>306</v>
      </c>
      <c r="E61" s="37" t="s">
        <v>307</v>
      </c>
      <c r="F61" s="37" t="s">
        <v>308</v>
      </c>
      <c r="G61" s="37" t="s">
        <v>309</v>
      </c>
      <c r="H61" s="37" t="s">
        <v>310</v>
      </c>
      <c r="I61" s="37" t="s">
        <v>31</v>
      </c>
      <c r="J61" s="37" t="s">
        <v>31</v>
      </c>
      <c r="K61" s="37" t="s">
        <v>31</v>
      </c>
      <c r="L61" s="37">
        <v>1</v>
      </c>
      <c r="M61" s="37">
        <f t="shared" si="1"/>
        <v>5</v>
      </c>
      <c r="N61" s="37">
        <v>6</v>
      </c>
      <c r="O61" s="43" t="s">
        <v>365</v>
      </c>
      <c r="P61" s="44">
        <v>6.25</v>
      </c>
      <c r="Q61" s="44">
        <f t="shared" si="2"/>
        <v>37.5</v>
      </c>
      <c r="R61" s="37"/>
      <c r="S61" s="37"/>
    </row>
    <row r="62" spans="1:22">
      <c r="A62" s="2"/>
      <c r="B62" s="33">
        <f t="shared" si="0"/>
        <v>53</v>
      </c>
      <c r="C62" s="34" t="s">
        <v>294</v>
      </c>
      <c r="D62" s="35" t="s">
        <v>312</v>
      </c>
      <c r="E62" s="35" t="s">
        <v>313</v>
      </c>
      <c r="F62" s="35" t="s">
        <v>314</v>
      </c>
      <c r="G62" s="35" t="s">
        <v>315</v>
      </c>
      <c r="H62" s="35" t="s">
        <v>316</v>
      </c>
      <c r="I62" s="37" t="s">
        <v>31</v>
      </c>
      <c r="J62" s="35" t="s">
        <v>317</v>
      </c>
      <c r="K62" s="35" t="s">
        <v>31</v>
      </c>
      <c r="L62" s="35">
        <v>1</v>
      </c>
      <c r="M62" s="35">
        <f t="shared" si="1"/>
        <v>5</v>
      </c>
      <c r="N62" s="35">
        <v>6</v>
      </c>
      <c r="O62" s="41" t="s">
        <v>34</v>
      </c>
      <c r="P62" s="42">
        <v>0.34710000000000002</v>
      </c>
      <c r="Q62" s="42">
        <f t="shared" si="2"/>
        <v>2.0826000000000002</v>
      </c>
      <c r="R62" s="35"/>
      <c r="S62" s="64"/>
    </row>
    <row r="63" spans="1:22">
      <c r="A63" s="2"/>
      <c r="B63" s="36">
        <f t="shared" si="0"/>
        <v>54</v>
      </c>
      <c r="C63" s="38" t="s">
        <v>294</v>
      </c>
      <c r="D63" s="37" t="s">
        <v>318</v>
      </c>
      <c r="E63" s="37" t="s">
        <v>319</v>
      </c>
      <c r="F63" s="37" t="s">
        <v>320</v>
      </c>
      <c r="G63" s="37" t="s">
        <v>321</v>
      </c>
      <c r="H63" s="37" t="s">
        <v>322</v>
      </c>
      <c r="I63" s="37" t="s">
        <v>31</v>
      </c>
      <c r="J63" s="37" t="s">
        <v>323</v>
      </c>
      <c r="K63" s="37"/>
      <c r="L63" s="37">
        <v>3</v>
      </c>
      <c r="M63" s="37">
        <f t="shared" si="1"/>
        <v>15</v>
      </c>
      <c r="N63" s="37">
        <v>16</v>
      </c>
      <c r="O63" s="43" t="s">
        <v>34</v>
      </c>
      <c r="P63" s="44">
        <v>0.67620000000000002</v>
      </c>
      <c r="Q63" s="44">
        <f t="shared" si="2"/>
        <v>10.8192</v>
      </c>
      <c r="R63" s="37"/>
      <c r="S63" s="37"/>
    </row>
    <row r="64" spans="1:22">
      <c r="A64" s="2"/>
      <c r="B64" s="33">
        <f t="shared" si="0"/>
        <v>55</v>
      </c>
      <c r="C64" s="34" t="s">
        <v>294</v>
      </c>
      <c r="D64" s="35" t="s">
        <v>324</v>
      </c>
      <c r="E64" s="35" t="s">
        <v>325</v>
      </c>
      <c r="F64" s="35" t="s">
        <v>326</v>
      </c>
      <c r="G64" s="35" t="s">
        <v>327</v>
      </c>
      <c r="H64" s="35" t="s">
        <v>328</v>
      </c>
      <c r="I64" s="37" t="s">
        <v>31</v>
      </c>
      <c r="J64" s="35" t="s">
        <v>329</v>
      </c>
      <c r="K64" s="35"/>
      <c r="L64" s="35">
        <v>1</v>
      </c>
      <c r="M64" s="35">
        <f t="shared" si="1"/>
        <v>5</v>
      </c>
      <c r="N64" s="35">
        <v>6</v>
      </c>
      <c r="O64" s="41" t="s">
        <v>34</v>
      </c>
      <c r="P64" s="42">
        <v>0.4073</v>
      </c>
      <c r="Q64" s="42">
        <f t="shared" si="2"/>
        <v>2.4438</v>
      </c>
      <c r="R64" s="35"/>
      <c r="S64" s="64"/>
    </row>
    <row r="65" spans="1:19">
      <c r="A65" s="2"/>
      <c r="B65" s="36">
        <f t="shared" si="0"/>
        <v>56</v>
      </c>
      <c r="C65" s="38" t="s">
        <v>294</v>
      </c>
      <c r="D65" s="37" t="s">
        <v>330</v>
      </c>
      <c r="E65" s="37" t="s">
        <v>331</v>
      </c>
      <c r="F65" s="37" t="s">
        <v>332</v>
      </c>
      <c r="G65" s="37" t="s">
        <v>333</v>
      </c>
      <c r="H65" s="37" t="s">
        <v>334</v>
      </c>
      <c r="I65" s="37" t="s">
        <v>31</v>
      </c>
      <c r="J65" s="37" t="s">
        <v>335</v>
      </c>
      <c r="K65" s="37"/>
      <c r="L65" s="37">
        <v>1</v>
      </c>
      <c r="M65" s="37">
        <f t="shared" si="1"/>
        <v>5</v>
      </c>
      <c r="N65" s="37">
        <v>10</v>
      </c>
      <c r="O65" s="43" t="s">
        <v>34</v>
      </c>
      <c r="P65" s="44">
        <v>0.16880000000000001</v>
      </c>
      <c r="Q65" s="44">
        <f t="shared" si="2"/>
        <v>1.6880000000000002</v>
      </c>
      <c r="R65" s="37"/>
      <c r="S65" s="37"/>
    </row>
    <row r="66" spans="1:19">
      <c r="A66" s="2"/>
      <c r="B66" s="33">
        <f t="shared" si="0"/>
        <v>57</v>
      </c>
      <c r="C66" s="34" t="s">
        <v>294</v>
      </c>
      <c r="D66" s="35" t="s">
        <v>336</v>
      </c>
      <c r="E66" s="35" t="s">
        <v>337</v>
      </c>
      <c r="F66" s="35" t="s">
        <v>338</v>
      </c>
      <c r="G66" s="35" t="s">
        <v>339</v>
      </c>
      <c r="H66" s="35" t="s">
        <v>322</v>
      </c>
      <c r="I66" s="37" t="s">
        <v>31</v>
      </c>
      <c r="J66" s="35" t="s">
        <v>340</v>
      </c>
      <c r="K66" s="35"/>
      <c r="L66" s="35">
        <v>1</v>
      </c>
      <c r="M66" s="35">
        <f t="shared" si="1"/>
        <v>5</v>
      </c>
      <c r="N66" s="35">
        <v>6</v>
      </c>
      <c r="O66" s="41" t="s">
        <v>34</v>
      </c>
      <c r="P66" s="42">
        <v>1.0866</v>
      </c>
      <c r="Q66" s="42">
        <f t="shared" si="2"/>
        <v>6.5196000000000005</v>
      </c>
      <c r="R66" s="35"/>
      <c r="S66" s="64"/>
    </row>
    <row r="67" spans="1:19" ht="36">
      <c r="A67" s="2"/>
      <c r="B67" s="36">
        <f t="shared" si="0"/>
        <v>58</v>
      </c>
      <c r="C67" s="38" t="s">
        <v>341</v>
      </c>
      <c r="D67" s="37" t="s">
        <v>342</v>
      </c>
      <c r="E67" s="37" t="s">
        <v>343</v>
      </c>
      <c r="F67" s="37" t="s">
        <v>168</v>
      </c>
      <c r="G67" s="37" t="s">
        <v>344</v>
      </c>
      <c r="H67" s="37" t="s">
        <v>345</v>
      </c>
      <c r="I67" s="37" t="s">
        <v>31</v>
      </c>
      <c r="J67" s="37" t="s">
        <v>346</v>
      </c>
      <c r="K67" s="37" t="s">
        <v>347</v>
      </c>
      <c r="L67" s="37">
        <v>1</v>
      </c>
      <c r="M67" s="37">
        <f t="shared" si="1"/>
        <v>5</v>
      </c>
      <c r="N67" s="37">
        <v>10</v>
      </c>
      <c r="O67" s="43" t="s">
        <v>34</v>
      </c>
      <c r="P67" s="44">
        <v>6.6100000000000006E-2</v>
      </c>
      <c r="Q67" s="44">
        <f t="shared" si="2"/>
        <v>0.66100000000000003</v>
      </c>
      <c r="R67" s="37"/>
      <c r="S67" s="37"/>
    </row>
    <row r="68" spans="1:19" ht="24">
      <c r="A68" s="2"/>
      <c r="B68" s="33">
        <f t="shared" si="0"/>
        <v>59</v>
      </c>
      <c r="C68" s="38" t="s">
        <v>341</v>
      </c>
      <c r="D68" s="35" t="s">
        <v>348</v>
      </c>
      <c r="E68" s="35" t="s">
        <v>349</v>
      </c>
      <c r="F68" s="37" t="s">
        <v>168</v>
      </c>
      <c r="G68" s="35" t="s">
        <v>350</v>
      </c>
      <c r="H68" s="35" t="s">
        <v>351</v>
      </c>
      <c r="I68" s="37" t="s">
        <v>31</v>
      </c>
      <c r="J68" s="35" t="s">
        <v>352</v>
      </c>
      <c r="K68" s="35" t="s">
        <v>353</v>
      </c>
      <c r="L68" s="35">
        <v>1</v>
      </c>
      <c r="M68" s="35">
        <f t="shared" si="1"/>
        <v>5</v>
      </c>
      <c r="N68" s="35">
        <v>10</v>
      </c>
      <c r="O68" s="41" t="s">
        <v>34</v>
      </c>
      <c r="P68" s="42">
        <v>0.1401</v>
      </c>
      <c r="Q68" s="42">
        <f t="shared" si="2"/>
        <v>1.401</v>
      </c>
      <c r="R68" s="35"/>
      <c r="S68" s="64"/>
    </row>
    <row r="69" spans="1:19">
      <c r="A69" s="2"/>
      <c r="B69" s="33">
        <f t="shared" si="0"/>
        <v>60</v>
      </c>
      <c r="C69" s="38" t="s">
        <v>359</v>
      </c>
      <c r="D69" s="35" t="s">
        <v>31</v>
      </c>
      <c r="E69" s="35" t="s">
        <v>360</v>
      </c>
      <c r="F69" s="37" t="s">
        <v>31</v>
      </c>
      <c r="G69" s="35" t="s">
        <v>361</v>
      </c>
      <c r="H69" s="35" t="s">
        <v>31</v>
      </c>
      <c r="I69" s="37" t="s">
        <v>31</v>
      </c>
      <c r="J69" s="35" t="s">
        <v>31</v>
      </c>
      <c r="K69" s="35"/>
      <c r="L69" s="35">
        <v>5</v>
      </c>
      <c r="M69" s="35">
        <f t="shared" si="1"/>
        <v>25</v>
      </c>
      <c r="N69" s="35">
        <v>26</v>
      </c>
      <c r="O69" s="41" t="s">
        <v>34</v>
      </c>
      <c r="P69" s="42">
        <v>7.5</v>
      </c>
      <c r="Q69" s="42">
        <f t="shared" si="2"/>
        <v>195</v>
      </c>
      <c r="R69" s="35"/>
      <c r="S69" s="64"/>
    </row>
    <row r="70" spans="1:19">
      <c r="A70" s="2"/>
      <c r="B70" s="33">
        <f t="shared" si="0"/>
        <v>61</v>
      </c>
      <c r="C70" s="38" t="s">
        <v>359</v>
      </c>
      <c r="D70" s="95" t="s">
        <v>31</v>
      </c>
      <c r="E70" s="95" t="s">
        <v>384</v>
      </c>
      <c r="F70" s="37" t="s">
        <v>31</v>
      </c>
      <c r="G70" s="95" t="s">
        <v>383</v>
      </c>
      <c r="H70" s="35" t="s">
        <v>31</v>
      </c>
      <c r="I70" s="93" t="s">
        <v>31</v>
      </c>
      <c r="J70" s="95" t="s">
        <v>31</v>
      </c>
      <c r="K70" s="35" t="s">
        <v>31</v>
      </c>
      <c r="L70" s="35">
        <v>1</v>
      </c>
      <c r="M70" s="35">
        <f t="shared" si="1"/>
        <v>5</v>
      </c>
      <c r="N70" s="35">
        <v>6</v>
      </c>
      <c r="O70" s="41" t="s">
        <v>385</v>
      </c>
      <c r="P70" s="42">
        <v>1.32</v>
      </c>
      <c r="Q70" s="42">
        <f t="shared" si="2"/>
        <v>7.92</v>
      </c>
      <c r="R70" s="35"/>
      <c r="S70" s="64"/>
    </row>
    <row r="71" spans="1:19" ht="15.75" thickBot="1">
      <c r="A71" s="2"/>
      <c r="B71" s="33">
        <f t="shared" si="0"/>
        <v>62</v>
      </c>
      <c r="C71" s="38" t="s">
        <v>359</v>
      </c>
      <c r="D71" s="35"/>
      <c r="E71" s="35" t="s">
        <v>364</v>
      </c>
      <c r="F71" s="37"/>
      <c r="G71" s="35" t="s">
        <v>362</v>
      </c>
      <c r="H71" s="35"/>
      <c r="I71" s="37"/>
      <c r="J71" s="35"/>
      <c r="K71" s="35"/>
      <c r="L71" s="35">
        <v>6</v>
      </c>
      <c r="M71" s="35">
        <f t="shared" si="1"/>
        <v>30</v>
      </c>
      <c r="N71" s="35">
        <v>30</v>
      </c>
      <c r="O71" s="41"/>
      <c r="P71" s="42"/>
      <c r="Q71" s="42"/>
      <c r="R71" s="35"/>
      <c r="S71" s="64"/>
    </row>
    <row r="72" spans="1:19" ht="19.5" thickBot="1">
      <c r="A72" s="2"/>
      <c r="B72" s="51"/>
      <c r="C72" s="52"/>
      <c r="D72" s="53"/>
      <c r="E72" s="54"/>
      <c r="F72" s="55"/>
      <c r="G72" s="56"/>
      <c r="H72" s="55"/>
      <c r="I72" s="56"/>
      <c r="J72" s="55"/>
      <c r="K72" s="56"/>
      <c r="L72" s="56"/>
      <c r="M72" s="56"/>
      <c r="N72" s="85" t="s">
        <v>354</v>
      </c>
      <c r="O72" s="86"/>
      <c r="P72" s="86"/>
      <c r="Q72" s="61">
        <f>SUM(Q10:Q71)</f>
        <v>404.92770000000002</v>
      </c>
      <c r="R72" s="89"/>
      <c r="S72" s="90"/>
    </row>
    <row r="73" spans="1:19" ht="18.75">
      <c r="A73" s="2"/>
      <c r="B73" s="57"/>
      <c r="C73" s="58"/>
      <c r="D73" s="59"/>
      <c r="E73" s="60"/>
      <c r="F73" s="60"/>
      <c r="G73" s="60"/>
      <c r="H73" s="60"/>
      <c r="I73" s="60"/>
      <c r="J73" s="60"/>
      <c r="K73" s="60"/>
      <c r="L73" s="60"/>
      <c r="M73" s="60"/>
      <c r="N73" s="85" t="s">
        <v>355</v>
      </c>
      <c r="O73" s="86"/>
      <c r="P73" s="86"/>
      <c r="Q73" s="62">
        <f>Q72/5</f>
        <v>80.98554</v>
      </c>
      <c r="R73" s="91"/>
      <c r="S73" s="92"/>
    </row>
  </sheetData>
  <mergeCells count="5">
    <mergeCell ref="K1:S1"/>
    <mergeCell ref="N72:P72"/>
    <mergeCell ref="N73:P73"/>
    <mergeCell ref="S3:S8"/>
    <mergeCell ref="R72:S73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3" r:id="rId14"/>
    <hyperlink ref="O24" r:id="rId15"/>
    <hyperlink ref="O25" r:id="rId16"/>
    <hyperlink ref="O28" r:id="rId17"/>
    <hyperlink ref="O29" r:id="rId18"/>
    <hyperlink ref="O30" r:id="rId19"/>
    <hyperlink ref="O32" r:id="rId20"/>
    <hyperlink ref="O33" r:id="rId21"/>
    <hyperlink ref="O36" r:id="rId22"/>
    <hyperlink ref="O37" r:id="rId23"/>
    <hyperlink ref="O38" r:id="rId24"/>
    <hyperlink ref="O39" r:id="rId25"/>
    <hyperlink ref="O40" r:id="rId26"/>
    <hyperlink ref="O41" r:id="rId27"/>
    <hyperlink ref="O42" r:id="rId28"/>
    <hyperlink ref="O43" r:id="rId29"/>
    <hyperlink ref="O45" r:id="rId30"/>
    <hyperlink ref="O46" r:id="rId31"/>
    <hyperlink ref="O47" r:id="rId32"/>
    <hyperlink ref="O48" r:id="rId33"/>
    <hyperlink ref="O49" r:id="rId34"/>
    <hyperlink ref="O50" r:id="rId35"/>
    <hyperlink ref="O51" r:id="rId36"/>
    <hyperlink ref="O52" r:id="rId37"/>
    <hyperlink ref="O53" r:id="rId38"/>
    <hyperlink ref="O54" r:id="rId39"/>
    <hyperlink ref="O55" r:id="rId40"/>
    <hyperlink ref="O56" r:id="rId41"/>
    <hyperlink ref="O58" r:id="rId42"/>
    <hyperlink ref="O60" r:id="rId43"/>
    <hyperlink ref="O62" r:id="rId44"/>
    <hyperlink ref="O63" r:id="rId45"/>
    <hyperlink ref="O64" r:id="rId46"/>
    <hyperlink ref="O65" r:id="rId47"/>
    <hyperlink ref="O66" r:id="rId48"/>
    <hyperlink ref="O67" r:id="rId49"/>
    <hyperlink ref="O68" r:id="rId50"/>
    <hyperlink ref="O26" r:id="rId51"/>
    <hyperlink ref="O69" r:id="rId52"/>
    <hyperlink ref="O61" r:id="rId53"/>
    <hyperlink ref="O59" r:id="rId54"/>
    <hyperlink ref="O27" r:id="rId55"/>
    <hyperlink ref="O31" r:id="rId56"/>
    <hyperlink ref="O57" r:id="rId57"/>
    <hyperlink ref="O70" r:id="rId58"/>
  </hyperlinks>
  <pageMargins left="0.7" right="0.7" top="0.75" bottom="0.75" header="0.3" footer="0.3"/>
  <pageSetup paperSize="9" orientation="portrait"/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topLeftCell="E19" workbookViewId="0">
      <selection activeCell="Q73" sqref="Q73"/>
    </sheetView>
  </sheetViews>
  <sheetFormatPr defaultColWidth="8.85546875" defaultRowHeight="15"/>
  <cols>
    <col min="2" max="2" width="3.7109375" customWidth="1"/>
    <col min="3" max="3" width="19.140625" customWidth="1"/>
    <col min="4" max="4" width="33.140625" customWidth="1"/>
    <col min="5" max="5" width="29.28515625" bestFit="1" customWidth="1"/>
    <col min="6" max="6" width="18.85546875" customWidth="1"/>
    <col min="7" max="7" width="26.42578125" customWidth="1"/>
    <col min="8" max="8" width="19.28515625" customWidth="1"/>
    <col min="9" max="9" width="22" customWidth="1"/>
    <col min="10" max="10" width="17.85546875" customWidth="1"/>
    <col min="11" max="11" width="10.42578125" customWidth="1"/>
    <col min="12" max="12" width="9" customWidth="1"/>
    <col min="13" max="13" width="19" customWidth="1"/>
    <col min="14" max="14" width="15.7109375" customWidth="1"/>
    <col min="15" max="15" width="10.5703125" customWidth="1"/>
    <col min="16" max="16" width="19.42578125" customWidth="1"/>
    <col min="17" max="17" width="20.140625" customWidth="1"/>
    <col min="18" max="18" width="8.85546875" customWidth="1"/>
    <col min="19" max="19" width="25.7109375" customWidth="1"/>
  </cols>
  <sheetData>
    <row r="1" spans="1:19">
      <c r="A1" s="2"/>
      <c r="B1" s="3"/>
      <c r="C1" s="3"/>
      <c r="D1" s="4"/>
      <c r="E1" s="4"/>
      <c r="F1" s="4"/>
      <c r="G1" s="4"/>
      <c r="H1" s="4"/>
      <c r="I1" s="4"/>
      <c r="J1" s="4"/>
      <c r="K1" s="83"/>
      <c r="L1" s="83"/>
      <c r="M1" s="83"/>
      <c r="N1" s="83"/>
      <c r="O1" s="83"/>
      <c r="P1" s="83"/>
      <c r="Q1" s="83"/>
      <c r="R1" s="83"/>
      <c r="S1" s="84"/>
    </row>
    <row r="2" spans="1:19" ht="31.5">
      <c r="A2" s="2"/>
      <c r="B2" s="5"/>
      <c r="C2" s="6"/>
      <c r="D2" s="7" t="s">
        <v>0</v>
      </c>
      <c r="E2" s="7"/>
      <c r="F2" s="65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48"/>
    </row>
    <row r="3" spans="1:19">
      <c r="A3" s="2"/>
      <c r="B3" s="10"/>
      <c r="C3" s="11"/>
      <c r="D3" s="12" t="s">
        <v>2</v>
      </c>
      <c r="E3" s="12"/>
      <c r="F3" s="66" t="s">
        <v>3</v>
      </c>
      <c r="G3" s="12"/>
      <c r="H3" s="13"/>
      <c r="I3" s="12"/>
      <c r="J3" s="13"/>
      <c r="K3" s="13"/>
      <c r="L3" s="13"/>
      <c r="M3" s="13"/>
      <c r="N3" s="13"/>
      <c r="O3" s="13"/>
      <c r="P3" s="13"/>
      <c r="Q3" s="13"/>
      <c r="R3" s="13"/>
      <c r="S3" s="87"/>
    </row>
    <row r="4" spans="1:19">
      <c r="A4" s="2"/>
      <c r="B4" s="10"/>
      <c r="C4" s="11"/>
      <c r="D4" s="12" t="s">
        <v>4</v>
      </c>
      <c r="E4" s="12"/>
      <c r="F4" s="67" t="s">
        <v>3</v>
      </c>
      <c r="G4" s="14"/>
      <c r="H4" s="15"/>
      <c r="I4" s="14"/>
      <c r="J4" s="15"/>
      <c r="K4" s="15"/>
      <c r="L4" s="17"/>
      <c r="M4" s="17"/>
      <c r="N4" s="17"/>
      <c r="O4" s="17"/>
      <c r="P4" s="17"/>
      <c r="Q4" s="17"/>
      <c r="R4" s="17"/>
      <c r="S4" s="88"/>
    </row>
    <row r="5" spans="1:19">
      <c r="A5" s="2"/>
      <c r="B5" s="10"/>
      <c r="C5" s="11"/>
      <c r="D5" s="12" t="s">
        <v>5</v>
      </c>
      <c r="E5" s="12"/>
      <c r="F5" s="68" t="s">
        <v>6</v>
      </c>
      <c r="G5" s="16"/>
      <c r="H5" s="17"/>
      <c r="I5" s="16"/>
      <c r="J5" s="17"/>
      <c r="K5" s="17"/>
      <c r="L5" s="17"/>
      <c r="M5" s="17"/>
      <c r="N5" s="17"/>
      <c r="O5" s="17"/>
      <c r="P5" s="17"/>
      <c r="Q5" s="17"/>
      <c r="R5" s="17"/>
      <c r="S5" s="88"/>
    </row>
    <row r="6" spans="1:19">
      <c r="A6" s="2"/>
      <c r="B6" s="18"/>
      <c r="C6" s="19"/>
      <c r="D6" s="20"/>
      <c r="E6" s="20"/>
      <c r="F6" s="21"/>
      <c r="G6" s="16"/>
      <c r="H6" s="17"/>
      <c r="I6" s="16"/>
      <c r="J6" s="17"/>
      <c r="K6" s="17"/>
      <c r="L6" s="17"/>
      <c r="M6" s="17"/>
      <c r="N6" s="17"/>
      <c r="O6" s="17"/>
      <c r="P6" s="17"/>
      <c r="Q6" s="17"/>
      <c r="R6" s="17"/>
      <c r="S6" s="88"/>
    </row>
    <row r="7" spans="1:19">
      <c r="A7" s="2"/>
      <c r="B7" s="22"/>
      <c r="C7" s="23"/>
      <c r="D7" s="24"/>
      <c r="E7" s="24"/>
      <c r="F7" s="25"/>
      <c r="G7" s="24"/>
      <c r="H7" s="26"/>
      <c r="I7" s="24"/>
      <c r="J7" s="26"/>
      <c r="K7" s="26"/>
      <c r="L7" s="26"/>
      <c r="M7" s="26"/>
      <c r="N7" s="26"/>
      <c r="O7" s="26"/>
      <c r="P7" s="26"/>
      <c r="Q7" s="26"/>
      <c r="R7" s="26"/>
      <c r="S7" s="88"/>
    </row>
    <row r="8" spans="1:19">
      <c r="A8" s="2"/>
      <c r="B8" s="27"/>
      <c r="C8" s="28"/>
      <c r="D8" s="29"/>
      <c r="E8" s="29"/>
      <c r="F8" s="30"/>
      <c r="G8" s="24"/>
      <c r="H8" s="26"/>
      <c r="I8" s="24"/>
      <c r="J8" s="26"/>
      <c r="K8" s="26"/>
      <c r="L8" s="26"/>
      <c r="M8" s="26"/>
      <c r="N8" s="26"/>
      <c r="O8" s="26"/>
      <c r="P8" s="26"/>
      <c r="Q8" s="26"/>
      <c r="R8" s="26"/>
      <c r="S8" s="88"/>
    </row>
    <row r="9" spans="1:19">
      <c r="A9" s="2"/>
      <c r="B9" s="31" t="s">
        <v>7</v>
      </c>
      <c r="C9" s="31" t="s">
        <v>8</v>
      </c>
      <c r="D9" s="31" t="s">
        <v>9</v>
      </c>
      <c r="E9" s="31" t="s">
        <v>10</v>
      </c>
      <c r="F9" s="31" t="s">
        <v>11</v>
      </c>
      <c r="G9" s="31" t="s">
        <v>12</v>
      </c>
      <c r="H9" s="31" t="s">
        <v>13</v>
      </c>
      <c r="I9" s="31" t="s">
        <v>14</v>
      </c>
      <c r="J9" s="31" t="s">
        <v>15</v>
      </c>
      <c r="K9" s="31" t="s">
        <v>16</v>
      </c>
      <c r="L9" s="31" t="s">
        <v>17</v>
      </c>
      <c r="M9" s="31" t="s">
        <v>18</v>
      </c>
      <c r="N9" s="31" t="s">
        <v>356</v>
      </c>
      <c r="O9" s="31" t="s">
        <v>20</v>
      </c>
      <c r="P9" s="31" t="s">
        <v>357</v>
      </c>
      <c r="Q9" s="31" t="s">
        <v>358</v>
      </c>
      <c r="R9" s="31" t="s">
        <v>23</v>
      </c>
      <c r="S9" s="31" t="s">
        <v>24</v>
      </c>
    </row>
    <row r="10" spans="1:19" s="1" customFormat="1">
      <c r="A10" s="32"/>
      <c r="B10" s="33">
        <f t="shared" ref="B10:B71" si="0">ROW(B10)-ROW($B$9)</f>
        <v>1</v>
      </c>
      <c r="C10" s="34" t="s">
        <v>25</v>
      </c>
      <c r="D10" s="35" t="s">
        <v>26</v>
      </c>
      <c r="E10" s="35" t="s">
        <v>27</v>
      </c>
      <c r="F10" s="35" t="s">
        <v>28</v>
      </c>
      <c r="G10" s="35" t="s">
        <v>29</v>
      </c>
      <c r="H10" s="35" t="s">
        <v>30</v>
      </c>
      <c r="I10" s="35" t="s">
        <v>31</v>
      </c>
      <c r="J10" s="35" t="s">
        <v>32</v>
      </c>
      <c r="K10" s="35" t="s">
        <v>33</v>
      </c>
      <c r="L10" s="35">
        <v>4</v>
      </c>
      <c r="M10" s="35">
        <f>L10*10</f>
        <v>40</v>
      </c>
      <c r="N10" s="35">
        <v>100</v>
      </c>
      <c r="O10" s="41" t="s">
        <v>34</v>
      </c>
      <c r="P10" s="42">
        <v>4.1000000000000003E-3</v>
      </c>
      <c r="Q10" s="42">
        <f t="shared" ref="Q10:Q33" si="1">P10*N10</f>
        <v>0.41000000000000003</v>
      </c>
      <c r="R10" s="35"/>
      <c r="S10" s="49"/>
    </row>
    <row r="11" spans="1:19" s="1" customFormat="1" ht="24">
      <c r="A11" s="32"/>
      <c r="B11" s="36">
        <f t="shared" si="0"/>
        <v>2</v>
      </c>
      <c r="C11" s="34" t="s">
        <v>25</v>
      </c>
      <c r="D11" s="37" t="s">
        <v>35</v>
      </c>
      <c r="E11" s="37" t="s">
        <v>36</v>
      </c>
      <c r="F11" s="37" t="s">
        <v>28</v>
      </c>
      <c r="G11" s="37" t="s">
        <v>37</v>
      </c>
      <c r="H11" s="37" t="s">
        <v>30</v>
      </c>
      <c r="I11" s="37" t="s">
        <v>31</v>
      </c>
      <c r="J11" s="37" t="s">
        <v>38</v>
      </c>
      <c r="K11" s="37" t="s">
        <v>39</v>
      </c>
      <c r="L11" s="37">
        <v>19</v>
      </c>
      <c r="M11" s="35">
        <f t="shared" ref="M11:M43" si="2">L11*10</f>
        <v>190</v>
      </c>
      <c r="N11" s="37">
        <v>200</v>
      </c>
      <c r="O11" s="43" t="s">
        <v>34</v>
      </c>
      <c r="P11" s="44">
        <v>6.1000000000000004E-3</v>
      </c>
      <c r="Q11" s="44">
        <f t="shared" si="1"/>
        <v>1.22</v>
      </c>
      <c r="R11" s="37"/>
      <c r="S11" s="37"/>
    </row>
    <row r="12" spans="1:19" s="1" customFormat="1">
      <c r="A12" s="32"/>
      <c r="B12" s="33">
        <f t="shared" si="0"/>
        <v>3</v>
      </c>
      <c r="C12" s="34" t="s">
        <v>25</v>
      </c>
      <c r="D12" s="35" t="s">
        <v>40</v>
      </c>
      <c r="E12" s="35" t="s">
        <v>41</v>
      </c>
      <c r="F12" s="35" t="s">
        <v>28</v>
      </c>
      <c r="G12" s="35" t="s">
        <v>42</v>
      </c>
      <c r="H12" s="35" t="s">
        <v>30</v>
      </c>
      <c r="I12" s="37" t="s">
        <v>31</v>
      </c>
      <c r="J12" s="35" t="s">
        <v>43</v>
      </c>
      <c r="K12" s="35" t="s">
        <v>44</v>
      </c>
      <c r="L12" s="35">
        <v>9</v>
      </c>
      <c r="M12" s="35">
        <f t="shared" si="2"/>
        <v>90</v>
      </c>
      <c r="N12" s="35">
        <v>100</v>
      </c>
      <c r="O12" s="45" t="s">
        <v>34</v>
      </c>
      <c r="P12" s="42">
        <v>1.49E-2</v>
      </c>
      <c r="Q12" s="42">
        <f t="shared" si="1"/>
        <v>1.49</v>
      </c>
      <c r="R12" s="35"/>
      <c r="S12" s="49"/>
    </row>
    <row r="13" spans="1:19" s="1" customFormat="1" ht="24">
      <c r="A13" s="32"/>
      <c r="B13" s="36">
        <f t="shared" si="0"/>
        <v>4</v>
      </c>
      <c r="C13" s="38" t="s">
        <v>25</v>
      </c>
      <c r="D13" s="37" t="s">
        <v>45</v>
      </c>
      <c r="E13" s="37" t="s">
        <v>46</v>
      </c>
      <c r="F13" s="37" t="s">
        <v>28</v>
      </c>
      <c r="G13" s="37" t="s">
        <v>47</v>
      </c>
      <c r="H13" s="37" t="s">
        <v>30</v>
      </c>
      <c r="I13" s="37" t="s">
        <v>31</v>
      </c>
      <c r="J13" s="37" t="s">
        <v>48</v>
      </c>
      <c r="K13" s="37" t="s">
        <v>49</v>
      </c>
      <c r="L13" s="37">
        <v>10</v>
      </c>
      <c r="M13" s="35">
        <f t="shared" si="2"/>
        <v>100</v>
      </c>
      <c r="N13" s="37">
        <v>200</v>
      </c>
      <c r="O13" s="43" t="s">
        <v>34</v>
      </c>
      <c r="P13" s="44">
        <v>1.9E-3</v>
      </c>
      <c r="Q13" s="44">
        <f t="shared" si="1"/>
        <v>0.38</v>
      </c>
      <c r="R13" s="37"/>
      <c r="S13" s="37"/>
    </row>
    <row r="14" spans="1:19" s="1" customFormat="1">
      <c r="A14" s="32"/>
      <c r="B14" s="33">
        <f t="shared" si="0"/>
        <v>5</v>
      </c>
      <c r="C14" s="34" t="s">
        <v>25</v>
      </c>
      <c r="D14" s="35" t="s">
        <v>50</v>
      </c>
      <c r="E14" s="35" t="s">
        <v>51</v>
      </c>
      <c r="F14" s="35" t="s">
        <v>52</v>
      </c>
      <c r="G14" s="35" t="s">
        <v>53</v>
      </c>
      <c r="H14" s="35" t="s">
        <v>30</v>
      </c>
      <c r="I14" s="37" t="s">
        <v>31</v>
      </c>
      <c r="J14" s="35" t="s">
        <v>54</v>
      </c>
      <c r="K14" s="35" t="s">
        <v>55</v>
      </c>
      <c r="L14" s="35">
        <v>4</v>
      </c>
      <c r="M14" s="35">
        <f t="shared" si="2"/>
        <v>40</v>
      </c>
      <c r="N14" s="35">
        <v>60</v>
      </c>
      <c r="O14" s="41" t="s">
        <v>34</v>
      </c>
      <c r="P14" s="42">
        <v>3.1899999999999998E-2</v>
      </c>
      <c r="Q14" s="42">
        <f t="shared" si="1"/>
        <v>1.9139999999999999</v>
      </c>
      <c r="R14" s="35"/>
      <c r="S14" s="49"/>
    </row>
    <row r="15" spans="1:19" s="1" customFormat="1">
      <c r="A15" s="32"/>
      <c r="B15" s="36">
        <f t="shared" si="0"/>
        <v>6</v>
      </c>
      <c r="C15" s="34" t="s">
        <v>25</v>
      </c>
      <c r="D15" s="37" t="s">
        <v>56</v>
      </c>
      <c r="E15" s="37" t="s">
        <v>57</v>
      </c>
      <c r="F15" s="37" t="s">
        <v>28</v>
      </c>
      <c r="G15" s="37" t="s">
        <v>58</v>
      </c>
      <c r="H15" s="37" t="s">
        <v>59</v>
      </c>
      <c r="I15" s="37" t="s">
        <v>31</v>
      </c>
      <c r="J15" s="37" t="s">
        <v>60</v>
      </c>
      <c r="K15" s="37" t="s">
        <v>61</v>
      </c>
      <c r="L15" s="37">
        <v>4</v>
      </c>
      <c r="M15" s="35">
        <f t="shared" si="2"/>
        <v>40</v>
      </c>
      <c r="N15" s="37">
        <v>50</v>
      </c>
      <c r="O15" s="43" t="s">
        <v>34</v>
      </c>
      <c r="P15" s="44">
        <v>1.23E-2</v>
      </c>
      <c r="Q15" s="44">
        <f t="shared" si="1"/>
        <v>0.61499999999999999</v>
      </c>
      <c r="R15" s="37"/>
      <c r="S15" s="37"/>
    </row>
    <row r="16" spans="1:19" s="1" customFormat="1">
      <c r="A16" s="32"/>
      <c r="B16" s="33">
        <f t="shared" si="0"/>
        <v>7</v>
      </c>
      <c r="C16" s="34" t="s">
        <v>25</v>
      </c>
      <c r="D16" s="35" t="s">
        <v>62</v>
      </c>
      <c r="E16" s="35" t="s">
        <v>63</v>
      </c>
      <c r="F16" s="35" t="s">
        <v>64</v>
      </c>
      <c r="G16" s="35" t="s">
        <v>65</v>
      </c>
      <c r="H16" s="35" t="s">
        <v>66</v>
      </c>
      <c r="I16" s="37" t="s">
        <v>31</v>
      </c>
      <c r="J16" s="35" t="s">
        <v>67</v>
      </c>
      <c r="K16" s="35" t="s">
        <v>68</v>
      </c>
      <c r="L16" s="35">
        <v>1</v>
      </c>
      <c r="M16" s="35">
        <f t="shared" si="2"/>
        <v>10</v>
      </c>
      <c r="N16" s="35">
        <v>11</v>
      </c>
      <c r="O16" s="45" t="s">
        <v>34</v>
      </c>
      <c r="P16" s="42">
        <v>0.49320000000000003</v>
      </c>
      <c r="Q16" s="42">
        <f t="shared" si="1"/>
        <v>5.4252000000000002</v>
      </c>
      <c r="R16" s="35"/>
      <c r="S16" s="49"/>
    </row>
    <row r="17" spans="1:19" s="1" customFormat="1">
      <c r="A17" s="32"/>
      <c r="B17" s="36">
        <f t="shared" si="0"/>
        <v>8</v>
      </c>
      <c r="C17" s="34" t="s">
        <v>25</v>
      </c>
      <c r="D17" s="37" t="s">
        <v>69</v>
      </c>
      <c r="E17" s="37" t="s">
        <v>70</v>
      </c>
      <c r="F17" s="37" t="s">
        <v>52</v>
      </c>
      <c r="G17" s="37" t="s">
        <v>71</v>
      </c>
      <c r="H17" s="37" t="s">
        <v>72</v>
      </c>
      <c r="I17" s="37" t="s">
        <v>31</v>
      </c>
      <c r="J17" s="37" t="s">
        <v>73</v>
      </c>
      <c r="K17" s="37" t="s">
        <v>74</v>
      </c>
      <c r="L17" s="37">
        <v>3</v>
      </c>
      <c r="M17" s="35">
        <f t="shared" si="2"/>
        <v>30</v>
      </c>
      <c r="N17" s="37">
        <v>40</v>
      </c>
      <c r="O17" s="43" t="s">
        <v>34</v>
      </c>
      <c r="P17" s="44">
        <v>2.12E-2</v>
      </c>
      <c r="Q17" s="44">
        <f t="shared" si="1"/>
        <v>0.84799999999999998</v>
      </c>
      <c r="R17" s="37"/>
      <c r="S17" s="37"/>
    </row>
    <row r="18" spans="1:19" s="1" customFormat="1">
      <c r="A18" s="32"/>
      <c r="B18" s="33">
        <f t="shared" si="0"/>
        <v>9</v>
      </c>
      <c r="C18" s="34" t="s">
        <v>25</v>
      </c>
      <c r="D18" s="35" t="s">
        <v>75</v>
      </c>
      <c r="E18" s="35" t="s">
        <v>76</v>
      </c>
      <c r="F18" s="35" t="s">
        <v>77</v>
      </c>
      <c r="G18" s="35" t="s">
        <v>78</v>
      </c>
      <c r="H18" s="35" t="s">
        <v>79</v>
      </c>
      <c r="I18" s="37" t="s">
        <v>31</v>
      </c>
      <c r="J18" s="35" t="s">
        <v>80</v>
      </c>
      <c r="K18" s="35" t="s">
        <v>74</v>
      </c>
      <c r="L18" s="35">
        <v>3</v>
      </c>
      <c r="M18" s="35">
        <f t="shared" si="2"/>
        <v>30</v>
      </c>
      <c r="N18" s="35">
        <v>40</v>
      </c>
      <c r="O18" s="41" t="s">
        <v>34</v>
      </c>
      <c r="P18" s="42">
        <v>0.1139</v>
      </c>
      <c r="Q18" s="42">
        <f t="shared" si="1"/>
        <v>4.556</v>
      </c>
      <c r="R18" s="35"/>
      <c r="S18" s="49"/>
    </row>
    <row r="19" spans="1:19" s="1" customFormat="1">
      <c r="A19" s="32"/>
      <c r="B19" s="36">
        <f t="shared" si="0"/>
        <v>10</v>
      </c>
      <c r="C19" s="34" t="s">
        <v>25</v>
      </c>
      <c r="D19" s="37" t="s">
        <v>81</v>
      </c>
      <c r="E19" s="37" t="s">
        <v>82</v>
      </c>
      <c r="F19" s="37" t="s">
        <v>28</v>
      </c>
      <c r="G19" s="37" t="s">
        <v>83</v>
      </c>
      <c r="H19" s="37" t="s">
        <v>30</v>
      </c>
      <c r="I19" s="37" t="s">
        <v>31</v>
      </c>
      <c r="J19" s="37" t="s">
        <v>84</v>
      </c>
      <c r="K19" s="37" t="s">
        <v>85</v>
      </c>
      <c r="L19" s="37">
        <v>3</v>
      </c>
      <c r="M19" s="35">
        <f t="shared" si="2"/>
        <v>30</v>
      </c>
      <c r="N19" s="37">
        <v>100</v>
      </c>
      <c r="O19" s="43" t="s">
        <v>34</v>
      </c>
      <c r="P19" s="44">
        <v>1.1999999999999999E-3</v>
      </c>
      <c r="Q19" s="44">
        <f t="shared" si="1"/>
        <v>0.12</v>
      </c>
      <c r="R19" s="37"/>
      <c r="S19" s="37"/>
    </row>
    <row r="20" spans="1:19" s="1" customFormat="1">
      <c r="A20" s="32"/>
      <c r="B20" s="33">
        <f t="shared" si="0"/>
        <v>11</v>
      </c>
      <c r="C20" s="34" t="s">
        <v>25</v>
      </c>
      <c r="D20" s="35" t="s">
        <v>86</v>
      </c>
      <c r="E20" s="35" t="s">
        <v>87</v>
      </c>
      <c r="F20" s="35" t="s">
        <v>88</v>
      </c>
      <c r="G20" s="35" t="s">
        <v>89</v>
      </c>
      <c r="H20" s="35" t="s">
        <v>30</v>
      </c>
      <c r="I20" s="37" t="s">
        <v>31</v>
      </c>
      <c r="J20" s="35" t="s">
        <v>90</v>
      </c>
      <c r="K20" s="35" t="s">
        <v>91</v>
      </c>
      <c r="L20" s="35">
        <v>3</v>
      </c>
      <c r="M20" s="35">
        <f t="shared" si="2"/>
        <v>30</v>
      </c>
      <c r="N20" s="35">
        <v>50</v>
      </c>
      <c r="O20" s="41" t="s">
        <v>34</v>
      </c>
      <c r="P20" s="42">
        <v>1.7899999999999999E-2</v>
      </c>
      <c r="Q20" s="42">
        <f t="shared" si="1"/>
        <v>0.89500000000000002</v>
      </c>
      <c r="R20" s="35"/>
      <c r="S20" s="49"/>
    </row>
    <row r="21" spans="1:19" s="76" customFormat="1">
      <c r="A21" s="69"/>
      <c r="B21" s="70">
        <f t="shared" si="0"/>
        <v>12</v>
      </c>
      <c r="C21" s="71" t="s">
        <v>25</v>
      </c>
      <c r="D21" s="72" t="s">
        <v>92</v>
      </c>
      <c r="E21" s="72" t="s">
        <v>93</v>
      </c>
      <c r="F21" s="72" t="s">
        <v>88</v>
      </c>
      <c r="G21" s="72" t="s">
        <v>94</v>
      </c>
      <c r="H21" s="72" t="s">
        <v>30</v>
      </c>
      <c r="I21" s="72" t="s">
        <v>31</v>
      </c>
      <c r="J21" s="72" t="s">
        <v>95</v>
      </c>
      <c r="K21" s="72" t="s">
        <v>96</v>
      </c>
      <c r="L21" s="72">
        <v>1</v>
      </c>
      <c r="M21" s="73">
        <f t="shared" si="2"/>
        <v>10</v>
      </c>
      <c r="N21" s="72">
        <v>100</v>
      </c>
      <c r="O21" s="74" t="s">
        <v>34</v>
      </c>
      <c r="P21" s="75">
        <v>3.8999999999999998E-3</v>
      </c>
      <c r="Q21" s="75">
        <f t="shared" si="1"/>
        <v>0.38999999999999996</v>
      </c>
      <c r="R21" s="72"/>
      <c r="S21" s="72"/>
    </row>
    <row r="22" spans="1:19" s="1" customFormat="1">
      <c r="A22" s="32"/>
      <c r="B22" s="33">
        <f t="shared" si="0"/>
        <v>13</v>
      </c>
      <c r="C22" s="34" t="s">
        <v>25</v>
      </c>
      <c r="D22" s="35" t="s">
        <v>97</v>
      </c>
      <c r="E22" s="35" t="s">
        <v>98</v>
      </c>
      <c r="F22" s="35" t="s">
        <v>52</v>
      </c>
      <c r="G22" s="35" t="s">
        <v>99</v>
      </c>
      <c r="H22" s="35" t="s">
        <v>66</v>
      </c>
      <c r="I22" s="37" t="s">
        <v>31</v>
      </c>
      <c r="J22" s="35" t="s">
        <v>100</v>
      </c>
      <c r="K22" s="35" t="s">
        <v>44</v>
      </c>
      <c r="L22" s="35">
        <v>1</v>
      </c>
      <c r="M22" s="35">
        <f t="shared" si="2"/>
        <v>10</v>
      </c>
      <c r="N22" s="35">
        <v>20</v>
      </c>
      <c r="O22" s="45" t="s">
        <v>34</v>
      </c>
      <c r="P22" s="42">
        <v>3.9300000000000002E-2</v>
      </c>
      <c r="Q22" s="42">
        <f t="shared" si="1"/>
        <v>0.78600000000000003</v>
      </c>
      <c r="R22" s="35"/>
      <c r="S22" s="49"/>
    </row>
    <row r="23" spans="1:19" s="1" customFormat="1">
      <c r="A23" s="32"/>
      <c r="B23" s="36">
        <f t="shared" si="0"/>
        <v>14</v>
      </c>
      <c r="C23" s="34" t="s">
        <v>25</v>
      </c>
      <c r="D23" s="37" t="s">
        <v>101</v>
      </c>
      <c r="E23" s="37" t="s">
        <v>102</v>
      </c>
      <c r="F23" s="37" t="s">
        <v>103</v>
      </c>
      <c r="G23" s="37" t="s">
        <v>104</v>
      </c>
      <c r="H23" s="37" t="s">
        <v>105</v>
      </c>
      <c r="I23" s="37" t="s">
        <v>31</v>
      </c>
      <c r="J23" s="37" t="s">
        <v>106</v>
      </c>
      <c r="K23" s="37" t="s">
        <v>107</v>
      </c>
      <c r="L23" s="37">
        <v>1</v>
      </c>
      <c r="M23" s="35">
        <f t="shared" si="2"/>
        <v>10</v>
      </c>
      <c r="N23" s="37">
        <v>11</v>
      </c>
      <c r="O23" s="46" t="s">
        <v>34</v>
      </c>
      <c r="P23" s="44">
        <v>0.29909999999999998</v>
      </c>
      <c r="Q23" s="44">
        <f t="shared" si="1"/>
        <v>3.2900999999999998</v>
      </c>
      <c r="R23" s="37"/>
      <c r="S23" s="37"/>
    </row>
    <row r="24" spans="1:19" s="1" customFormat="1">
      <c r="A24" s="32"/>
      <c r="B24" s="33">
        <f t="shared" si="0"/>
        <v>15</v>
      </c>
      <c r="C24" s="34" t="s">
        <v>25</v>
      </c>
      <c r="D24" s="35" t="s">
        <v>108</v>
      </c>
      <c r="E24" s="35" t="s">
        <v>109</v>
      </c>
      <c r="F24" s="35" t="s">
        <v>52</v>
      </c>
      <c r="G24" s="35" t="s">
        <v>110</v>
      </c>
      <c r="H24" s="35" t="s">
        <v>30</v>
      </c>
      <c r="I24" s="37" t="s">
        <v>31</v>
      </c>
      <c r="J24" s="35" t="s">
        <v>111</v>
      </c>
      <c r="K24" s="35" t="s">
        <v>112</v>
      </c>
      <c r="L24" s="35">
        <v>1</v>
      </c>
      <c r="M24" s="35">
        <f t="shared" si="2"/>
        <v>10</v>
      </c>
      <c r="N24" s="35">
        <v>100</v>
      </c>
      <c r="O24" s="41" t="s">
        <v>34</v>
      </c>
      <c r="P24" s="42">
        <v>2.5000000000000001E-3</v>
      </c>
      <c r="Q24" s="42">
        <f t="shared" si="1"/>
        <v>0.25</v>
      </c>
      <c r="R24" s="35"/>
      <c r="S24" s="49"/>
    </row>
    <row r="25" spans="1:19" s="1" customFormat="1">
      <c r="A25" s="32"/>
      <c r="B25" s="36">
        <f t="shared" si="0"/>
        <v>16</v>
      </c>
      <c r="C25" s="38" t="s">
        <v>25</v>
      </c>
      <c r="D25" s="37" t="s">
        <v>113</v>
      </c>
      <c r="E25" s="37" t="s">
        <v>114</v>
      </c>
      <c r="F25" s="37" t="s">
        <v>28</v>
      </c>
      <c r="G25" s="37" t="s">
        <v>115</v>
      </c>
      <c r="H25" s="37" t="s">
        <v>59</v>
      </c>
      <c r="I25" s="37" t="s">
        <v>31</v>
      </c>
      <c r="J25" s="37" t="s">
        <v>116</v>
      </c>
      <c r="K25" s="37" t="s">
        <v>117</v>
      </c>
      <c r="L25" s="37">
        <v>1</v>
      </c>
      <c r="M25" s="35">
        <f t="shared" si="2"/>
        <v>10</v>
      </c>
      <c r="N25" s="37">
        <v>20</v>
      </c>
      <c r="O25" s="43" t="s">
        <v>34</v>
      </c>
      <c r="P25" s="44">
        <v>2.6599999999999999E-2</v>
      </c>
      <c r="Q25" s="44">
        <f t="shared" si="1"/>
        <v>0.53200000000000003</v>
      </c>
      <c r="R25" s="37"/>
      <c r="S25" s="37"/>
    </row>
    <row r="26" spans="1:19" s="1" customFormat="1" ht="36">
      <c r="A26" s="32"/>
      <c r="B26" s="33">
        <f t="shared" si="0"/>
        <v>17</v>
      </c>
      <c r="C26" s="34" t="s">
        <v>25</v>
      </c>
      <c r="D26" s="35" t="s">
        <v>118</v>
      </c>
      <c r="E26" s="35" t="s">
        <v>119</v>
      </c>
      <c r="F26" s="35" t="s">
        <v>52</v>
      </c>
      <c r="G26" s="35" t="s">
        <v>120</v>
      </c>
      <c r="H26" s="35" t="s">
        <v>121</v>
      </c>
      <c r="I26" s="37" t="s">
        <v>31</v>
      </c>
      <c r="J26" s="35" t="s">
        <v>122</v>
      </c>
      <c r="K26" s="35" t="s">
        <v>123</v>
      </c>
      <c r="L26" s="35">
        <v>1</v>
      </c>
      <c r="M26" s="35">
        <f t="shared" si="2"/>
        <v>10</v>
      </c>
      <c r="N26" s="35">
        <v>100</v>
      </c>
      <c r="O26" s="41" t="s">
        <v>34</v>
      </c>
      <c r="P26" s="42">
        <v>3.8999999999999998E-3</v>
      </c>
      <c r="Q26" s="42">
        <f t="shared" si="1"/>
        <v>0.38999999999999996</v>
      </c>
      <c r="R26" s="35"/>
      <c r="S26" s="49"/>
    </row>
    <row r="27" spans="1:19" ht="24">
      <c r="A27" s="2"/>
      <c r="B27" s="36">
        <f t="shared" si="0"/>
        <v>18</v>
      </c>
      <c r="C27" s="38" t="s">
        <v>124</v>
      </c>
      <c r="D27" s="93" t="s">
        <v>366</v>
      </c>
      <c r="E27" s="93" t="s">
        <v>367</v>
      </c>
      <c r="F27" s="93" t="s">
        <v>128</v>
      </c>
      <c r="G27" s="93" t="s">
        <v>368</v>
      </c>
      <c r="H27" s="93" t="s">
        <v>369</v>
      </c>
      <c r="I27" s="37" t="s">
        <v>31</v>
      </c>
      <c r="J27" s="93" t="s">
        <v>370</v>
      </c>
      <c r="K27" s="37" t="s">
        <v>31</v>
      </c>
      <c r="L27" s="37">
        <v>2</v>
      </c>
      <c r="M27" s="35">
        <f t="shared" si="2"/>
        <v>20</v>
      </c>
      <c r="N27" s="37">
        <v>50</v>
      </c>
      <c r="O27" s="43" t="s">
        <v>34</v>
      </c>
      <c r="P27" s="44">
        <v>1.4999999999999999E-2</v>
      </c>
      <c r="Q27" s="44">
        <f t="shared" si="1"/>
        <v>0.75</v>
      </c>
      <c r="R27" s="37"/>
      <c r="S27" s="37"/>
    </row>
    <row r="28" spans="1:19" s="1" customFormat="1" ht="24">
      <c r="A28" s="32"/>
      <c r="B28" s="33">
        <f t="shared" si="0"/>
        <v>19</v>
      </c>
      <c r="C28" s="34" t="s">
        <v>124</v>
      </c>
      <c r="D28" s="35" t="s">
        <v>126</v>
      </c>
      <c r="E28" s="35" t="s">
        <v>127</v>
      </c>
      <c r="F28" s="35" t="s">
        <v>128</v>
      </c>
      <c r="G28" s="35" t="s">
        <v>129</v>
      </c>
      <c r="H28" s="35" t="s">
        <v>125</v>
      </c>
      <c r="I28" s="37" t="s">
        <v>31</v>
      </c>
      <c r="J28" s="35" t="s">
        <v>130</v>
      </c>
      <c r="K28" s="35" t="s">
        <v>31</v>
      </c>
      <c r="L28" s="35">
        <v>2</v>
      </c>
      <c r="M28" s="35">
        <f t="shared" si="2"/>
        <v>20</v>
      </c>
      <c r="N28" s="35">
        <v>40</v>
      </c>
      <c r="O28" s="41" t="s">
        <v>34</v>
      </c>
      <c r="P28" s="42">
        <v>3.0599999999999999E-2</v>
      </c>
      <c r="Q28" s="42">
        <f t="shared" si="1"/>
        <v>1.224</v>
      </c>
      <c r="R28" s="35"/>
      <c r="S28" s="49"/>
    </row>
    <row r="29" spans="1:19" s="1" customFormat="1" ht="24">
      <c r="A29" s="32"/>
      <c r="B29" s="36">
        <f t="shared" si="0"/>
        <v>20</v>
      </c>
      <c r="C29" s="38" t="s">
        <v>124</v>
      </c>
      <c r="D29" s="37" t="s">
        <v>131</v>
      </c>
      <c r="E29" s="37" t="s">
        <v>132</v>
      </c>
      <c r="F29" s="37" t="s">
        <v>133</v>
      </c>
      <c r="G29" s="37" t="s">
        <v>134</v>
      </c>
      <c r="H29" s="37" t="s">
        <v>135</v>
      </c>
      <c r="I29" s="37" t="s">
        <v>31</v>
      </c>
      <c r="J29" s="37" t="s">
        <v>136</v>
      </c>
      <c r="K29" s="35" t="s">
        <v>31</v>
      </c>
      <c r="L29" s="37">
        <v>1</v>
      </c>
      <c r="M29" s="35">
        <f t="shared" si="2"/>
        <v>10</v>
      </c>
      <c r="N29" s="37">
        <v>20</v>
      </c>
      <c r="O29" s="46" t="s">
        <v>34</v>
      </c>
      <c r="P29" s="44">
        <v>8.6400000000000005E-2</v>
      </c>
      <c r="Q29" s="44">
        <f t="shared" si="1"/>
        <v>1.7280000000000002</v>
      </c>
      <c r="R29" s="37"/>
      <c r="S29" s="37"/>
    </row>
    <row r="30" spans="1:19" s="76" customFormat="1">
      <c r="A30" s="69"/>
      <c r="B30" s="77">
        <f t="shared" si="0"/>
        <v>21</v>
      </c>
      <c r="C30" s="71" t="s">
        <v>124</v>
      </c>
      <c r="D30" s="73" t="s">
        <v>137</v>
      </c>
      <c r="E30" s="73" t="s">
        <v>138</v>
      </c>
      <c r="F30" s="73" t="s">
        <v>139</v>
      </c>
      <c r="G30" s="73" t="s">
        <v>140</v>
      </c>
      <c r="H30" s="73" t="s">
        <v>141</v>
      </c>
      <c r="I30" s="72" t="s">
        <v>31</v>
      </c>
      <c r="J30" s="73" t="s">
        <v>142</v>
      </c>
      <c r="K30" s="73" t="s">
        <v>31</v>
      </c>
      <c r="L30" s="73">
        <v>1</v>
      </c>
      <c r="M30" s="73">
        <f t="shared" si="2"/>
        <v>10</v>
      </c>
      <c r="N30" s="73">
        <v>20</v>
      </c>
      <c r="O30" s="78" t="s">
        <v>34</v>
      </c>
      <c r="P30" s="79">
        <v>3.4200000000000001E-2</v>
      </c>
      <c r="Q30" s="79">
        <f t="shared" si="1"/>
        <v>0.68400000000000005</v>
      </c>
      <c r="R30" s="73"/>
      <c r="S30" s="64"/>
    </row>
    <row r="31" spans="1:19" ht="24">
      <c r="A31" s="2"/>
      <c r="B31" s="33">
        <f t="shared" si="0"/>
        <v>22</v>
      </c>
      <c r="C31" s="94" t="s">
        <v>124</v>
      </c>
      <c r="D31" s="93" t="s">
        <v>371</v>
      </c>
      <c r="E31" s="93" t="s">
        <v>372</v>
      </c>
      <c r="F31" s="93" t="s">
        <v>373</v>
      </c>
      <c r="G31" s="93" t="s">
        <v>374</v>
      </c>
      <c r="H31" s="93" t="s">
        <v>375</v>
      </c>
      <c r="I31" s="93" t="s">
        <v>31</v>
      </c>
      <c r="J31" s="93" t="s">
        <v>376</v>
      </c>
      <c r="K31" s="93" t="s">
        <v>31</v>
      </c>
      <c r="L31" s="93">
        <v>1</v>
      </c>
      <c r="M31" s="73">
        <f t="shared" si="2"/>
        <v>10</v>
      </c>
      <c r="N31" s="35">
        <v>20</v>
      </c>
      <c r="O31" s="41" t="s">
        <v>34</v>
      </c>
      <c r="P31" s="42">
        <v>2.3699999999999999E-2</v>
      </c>
      <c r="Q31" s="42">
        <f t="shared" si="1"/>
        <v>0.47399999999999998</v>
      </c>
      <c r="R31" s="35"/>
      <c r="S31" s="64"/>
    </row>
    <row r="32" spans="1:19" s="1" customFormat="1" ht="24">
      <c r="A32" s="32"/>
      <c r="B32" s="36">
        <f t="shared" si="0"/>
        <v>23</v>
      </c>
      <c r="C32" s="38" t="s">
        <v>143</v>
      </c>
      <c r="D32" s="37" t="s">
        <v>144</v>
      </c>
      <c r="E32" s="37" t="s">
        <v>145</v>
      </c>
      <c r="F32" s="37" t="s">
        <v>146</v>
      </c>
      <c r="G32" s="37" t="s">
        <v>147</v>
      </c>
      <c r="H32" s="37" t="s">
        <v>148</v>
      </c>
      <c r="I32" s="37" t="s">
        <v>31</v>
      </c>
      <c r="J32" s="37" t="s">
        <v>149</v>
      </c>
      <c r="K32" s="35" t="s">
        <v>31</v>
      </c>
      <c r="L32" s="37">
        <v>1</v>
      </c>
      <c r="M32" s="35">
        <f t="shared" si="2"/>
        <v>10</v>
      </c>
      <c r="N32" s="37">
        <v>20</v>
      </c>
      <c r="O32" s="46" t="s">
        <v>34</v>
      </c>
      <c r="P32" s="44">
        <v>4.4299999999999999E-2</v>
      </c>
      <c r="Q32" s="44">
        <f t="shared" si="1"/>
        <v>0.88600000000000001</v>
      </c>
      <c r="R32" s="37"/>
      <c r="S32" s="37"/>
    </row>
    <row r="33" spans="1:19" s="1" customFormat="1">
      <c r="A33" s="32"/>
      <c r="B33" s="33">
        <f t="shared" si="0"/>
        <v>24</v>
      </c>
      <c r="C33" s="34" t="s">
        <v>150</v>
      </c>
      <c r="D33" s="35" t="s">
        <v>151</v>
      </c>
      <c r="E33" s="35" t="s">
        <v>152</v>
      </c>
      <c r="F33" s="35" t="s">
        <v>153</v>
      </c>
      <c r="G33" s="35" t="s">
        <v>154</v>
      </c>
      <c r="H33" s="35" t="s">
        <v>59</v>
      </c>
      <c r="I33" s="37" t="s">
        <v>31</v>
      </c>
      <c r="J33" s="35" t="s">
        <v>155</v>
      </c>
      <c r="K33" s="35" t="s">
        <v>31</v>
      </c>
      <c r="L33" s="35">
        <v>2</v>
      </c>
      <c r="M33" s="35">
        <f t="shared" si="2"/>
        <v>20</v>
      </c>
      <c r="N33" s="35">
        <v>100</v>
      </c>
      <c r="O33" s="41" t="s">
        <v>34</v>
      </c>
      <c r="P33" s="42">
        <v>5.7999999999999996E-3</v>
      </c>
      <c r="Q33" s="42">
        <f t="shared" si="1"/>
        <v>0.57999999999999996</v>
      </c>
      <c r="R33" s="35"/>
      <c r="S33" s="49"/>
    </row>
    <row r="34" spans="1:19" s="1" customFormat="1" ht="25.5">
      <c r="A34" s="32"/>
      <c r="B34" s="36">
        <f t="shared" si="0"/>
        <v>25</v>
      </c>
      <c r="C34" s="38" t="s">
        <v>156</v>
      </c>
      <c r="D34" s="39" t="s">
        <v>157</v>
      </c>
      <c r="E34" s="39" t="s">
        <v>31</v>
      </c>
      <c r="F34" s="39" t="s">
        <v>158</v>
      </c>
      <c r="G34" s="39" t="s">
        <v>31</v>
      </c>
      <c r="H34" s="39" t="s">
        <v>31</v>
      </c>
      <c r="I34" s="39" t="s">
        <v>31</v>
      </c>
      <c r="J34" s="39" t="s">
        <v>31</v>
      </c>
      <c r="K34" s="40" t="s">
        <v>159</v>
      </c>
      <c r="L34" s="39">
        <v>6</v>
      </c>
      <c r="M34" s="35">
        <f t="shared" si="2"/>
        <v>60</v>
      </c>
      <c r="N34" s="39" t="s">
        <v>31</v>
      </c>
      <c r="O34" s="39" t="s">
        <v>31</v>
      </c>
      <c r="P34" s="47" t="s">
        <v>31</v>
      </c>
      <c r="Q34" s="47" t="s">
        <v>31</v>
      </c>
      <c r="R34" s="50" t="s">
        <v>160</v>
      </c>
      <c r="S34" s="37"/>
    </row>
    <row r="35" spans="1:19" s="1" customFormat="1" ht="25.5">
      <c r="A35" s="32"/>
      <c r="B35" s="33">
        <f t="shared" si="0"/>
        <v>26</v>
      </c>
      <c r="C35" s="34" t="s">
        <v>161</v>
      </c>
      <c r="D35" s="40" t="s">
        <v>162</v>
      </c>
      <c r="E35" s="40" t="s">
        <v>163</v>
      </c>
      <c r="F35" s="40" t="s">
        <v>164</v>
      </c>
      <c r="G35" s="40" t="s">
        <v>31</v>
      </c>
      <c r="H35" s="40" t="s">
        <v>164</v>
      </c>
      <c r="I35" s="39" t="s">
        <v>31</v>
      </c>
      <c r="J35" s="40" t="s">
        <v>31</v>
      </c>
      <c r="K35" s="40" t="s">
        <v>159</v>
      </c>
      <c r="L35" s="40">
        <v>1</v>
      </c>
      <c r="M35" s="35">
        <f t="shared" si="2"/>
        <v>10</v>
      </c>
      <c r="N35" s="40" t="s">
        <v>31</v>
      </c>
      <c r="O35" s="39" t="s">
        <v>31</v>
      </c>
      <c r="P35" s="47" t="s">
        <v>31</v>
      </c>
      <c r="Q35" s="47" t="s">
        <v>31</v>
      </c>
      <c r="R35" s="50" t="s">
        <v>160</v>
      </c>
      <c r="S35" s="49"/>
    </row>
    <row r="36" spans="1:19" s="76" customFormat="1">
      <c r="A36" s="69"/>
      <c r="B36" s="70">
        <f t="shared" si="0"/>
        <v>27</v>
      </c>
      <c r="C36" s="80" t="s">
        <v>165</v>
      </c>
      <c r="D36" s="72" t="s">
        <v>166</v>
      </c>
      <c r="E36" s="72" t="s">
        <v>167</v>
      </c>
      <c r="F36" s="72" t="s">
        <v>168</v>
      </c>
      <c r="G36" s="72" t="s">
        <v>169</v>
      </c>
      <c r="H36" s="72" t="s">
        <v>170</v>
      </c>
      <c r="I36" s="72" t="s">
        <v>31</v>
      </c>
      <c r="J36" s="72" t="s">
        <v>171</v>
      </c>
      <c r="K36" s="72" t="s">
        <v>31</v>
      </c>
      <c r="L36" s="72">
        <v>1</v>
      </c>
      <c r="M36" s="73">
        <f t="shared" si="2"/>
        <v>10</v>
      </c>
      <c r="N36" s="72">
        <v>15</v>
      </c>
      <c r="O36" s="81" t="s">
        <v>34</v>
      </c>
      <c r="P36" s="75">
        <v>0.2029</v>
      </c>
      <c r="Q36" s="75">
        <f t="shared" ref="Q36:Q43" si="3">P36*N36</f>
        <v>3.0434999999999999</v>
      </c>
      <c r="R36" s="72"/>
      <c r="S36" s="72"/>
    </row>
    <row r="37" spans="1:19" s="1" customFormat="1" ht="24">
      <c r="A37" s="32"/>
      <c r="B37" s="33">
        <f t="shared" si="0"/>
        <v>28</v>
      </c>
      <c r="C37" s="34" t="s">
        <v>172</v>
      </c>
      <c r="D37" s="35" t="s">
        <v>173</v>
      </c>
      <c r="E37" s="35" t="s">
        <v>174</v>
      </c>
      <c r="F37" s="37" t="s">
        <v>168</v>
      </c>
      <c r="G37" s="35" t="s">
        <v>175</v>
      </c>
      <c r="H37" s="35" t="s">
        <v>176</v>
      </c>
      <c r="I37" s="37" t="s">
        <v>31</v>
      </c>
      <c r="J37" s="35" t="s">
        <v>177</v>
      </c>
      <c r="K37" s="37" t="s">
        <v>31</v>
      </c>
      <c r="L37" s="35">
        <v>1</v>
      </c>
      <c r="M37" s="35">
        <f t="shared" si="2"/>
        <v>10</v>
      </c>
      <c r="N37" s="35">
        <v>15</v>
      </c>
      <c r="O37" s="45" t="s">
        <v>34</v>
      </c>
      <c r="P37" s="42">
        <v>0.13009999999999999</v>
      </c>
      <c r="Q37" s="42">
        <f t="shared" si="3"/>
        <v>1.9514999999999998</v>
      </c>
      <c r="R37" s="35"/>
      <c r="S37" s="49"/>
    </row>
    <row r="38" spans="1:19" s="76" customFormat="1">
      <c r="A38" s="69"/>
      <c r="B38" s="70">
        <f t="shared" si="0"/>
        <v>29</v>
      </c>
      <c r="C38" s="80" t="s">
        <v>178</v>
      </c>
      <c r="D38" s="72" t="s">
        <v>179</v>
      </c>
      <c r="E38" s="72" t="s">
        <v>180</v>
      </c>
      <c r="F38" s="72" t="s">
        <v>181</v>
      </c>
      <c r="G38" s="72">
        <v>8266292</v>
      </c>
      <c r="H38" s="72" t="s">
        <v>182</v>
      </c>
      <c r="I38" s="72" t="s">
        <v>31</v>
      </c>
      <c r="J38" s="72" t="s">
        <v>183</v>
      </c>
      <c r="K38" s="72" t="s">
        <v>31</v>
      </c>
      <c r="L38" s="72">
        <v>1</v>
      </c>
      <c r="M38" s="73">
        <f t="shared" si="2"/>
        <v>10</v>
      </c>
      <c r="N38" s="72">
        <v>11</v>
      </c>
      <c r="O38" s="81" t="s">
        <v>34</v>
      </c>
      <c r="P38" s="75">
        <v>0.25319999999999998</v>
      </c>
      <c r="Q38" s="75">
        <f t="shared" si="3"/>
        <v>2.7851999999999997</v>
      </c>
      <c r="R38" s="72"/>
      <c r="S38" s="72"/>
    </row>
    <row r="39" spans="1:19" s="76" customFormat="1">
      <c r="A39" s="69"/>
      <c r="B39" s="77">
        <f t="shared" si="0"/>
        <v>30</v>
      </c>
      <c r="C39" s="71" t="s">
        <v>184</v>
      </c>
      <c r="D39" s="73" t="s">
        <v>185</v>
      </c>
      <c r="E39" s="73" t="s">
        <v>186</v>
      </c>
      <c r="F39" s="73" t="s">
        <v>187</v>
      </c>
      <c r="G39" s="73" t="s">
        <v>188</v>
      </c>
      <c r="H39" s="73" t="s">
        <v>59</v>
      </c>
      <c r="I39" s="72" t="s">
        <v>31</v>
      </c>
      <c r="J39" s="73" t="s">
        <v>189</v>
      </c>
      <c r="K39" s="73" t="s">
        <v>190</v>
      </c>
      <c r="L39" s="73">
        <v>1</v>
      </c>
      <c r="M39" s="73">
        <f t="shared" si="2"/>
        <v>10</v>
      </c>
      <c r="N39" s="73">
        <v>15</v>
      </c>
      <c r="O39" s="78" t="s">
        <v>34</v>
      </c>
      <c r="P39" s="79">
        <v>0.2006</v>
      </c>
      <c r="Q39" s="79">
        <f t="shared" si="3"/>
        <v>3.0089999999999999</v>
      </c>
      <c r="R39" s="73"/>
      <c r="S39" s="64"/>
    </row>
    <row r="40" spans="1:19" s="76" customFormat="1">
      <c r="A40" s="69"/>
      <c r="B40" s="70">
        <f t="shared" si="0"/>
        <v>31</v>
      </c>
      <c r="C40" s="80" t="s">
        <v>184</v>
      </c>
      <c r="D40" s="72" t="s">
        <v>191</v>
      </c>
      <c r="E40" s="72" t="s">
        <v>192</v>
      </c>
      <c r="F40" s="72" t="s">
        <v>168</v>
      </c>
      <c r="G40" s="72" t="s">
        <v>193</v>
      </c>
      <c r="H40" s="72" t="s">
        <v>194</v>
      </c>
      <c r="I40" s="72" t="s">
        <v>31</v>
      </c>
      <c r="J40" s="72" t="s">
        <v>195</v>
      </c>
      <c r="K40" s="72" t="s">
        <v>196</v>
      </c>
      <c r="L40" s="72">
        <v>1</v>
      </c>
      <c r="M40" s="73">
        <f t="shared" si="2"/>
        <v>10</v>
      </c>
      <c r="N40" s="72">
        <v>20</v>
      </c>
      <c r="O40" s="81" t="s">
        <v>34</v>
      </c>
      <c r="P40" s="75">
        <v>6.6799999999999998E-2</v>
      </c>
      <c r="Q40" s="75">
        <f t="shared" si="3"/>
        <v>1.3359999999999999</v>
      </c>
      <c r="R40" s="72"/>
      <c r="S40" s="72"/>
    </row>
    <row r="41" spans="1:19" s="1" customFormat="1" ht="36">
      <c r="A41" s="32"/>
      <c r="B41" s="33">
        <f t="shared" si="0"/>
        <v>32</v>
      </c>
      <c r="C41" s="34" t="s">
        <v>184</v>
      </c>
      <c r="D41" s="35" t="s">
        <v>197</v>
      </c>
      <c r="E41" s="35" t="s">
        <v>198</v>
      </c>
      <c r="F41" s="37" t="s">
        <v>168</v>
      </c>
      <c r="G41" s="35" t="s">
        <v>199</v>
      </c>
      <c r="H41" s="35" t="s">
        <v>200</v>
      </c>
      <c r="I41" s="37" t="s">
        <v>31</v>
      </c>
      <c r="J41" s="35" t="s">
        <v>201</v>
      </c>
      <c r="K41" s="35" t="s">
        <v>202</v>
      </c>
      <c r="L41" s="35">
        <v>1</v>
      </c>
      <c r="M41" s="35">
        <f t="shared" si="2"/>
        <v>10</v>
      </c>
      <c r="N41" s="35">
        <v>15</v>
      </c>
      <c r="O41" s="45" t="s">
        <v>34</v>
      </c>
      <c r="P41" s="42">
        <v>0.1326</v>
      </c>
      <c r="Q41" s="42">
        <f t="shared" si="3"/>
        <v>1.9889999999999999</v>
      </c>
      <c r="R41" s="35"/>
      <c r="S41" s="49"/>
    </row>
    <row r="42" spans="1:19" s="1" customFormat="1" ht="24">
      <c r="A42" s="32"/>
      <c r="B42" s="36">
        <f t="shared" si="0"/>
        <v>33</v>
      </c>
      <c r="C42" s="38" t="s">
        <v>203</v>
      </c>
      <c r="D42" s="37" t="s">
        <v>204</v>
      </c>
      <c r="E42" s="37" t="s">
        <v>205</v>
      </c>
      <c r="F42" s="37" t="s">
        <v>206</v>
      </c>
      <c r="G42" s="37" t="s">
        <v>207</v>
      </c>
      <c r="H42" s="37" t="s">
        <v>208</v>
      </c>
      <c r="I42" s="37" t="s">
        <v>31</v>
      </c>
      <c r="J42" s="37" t="s">
        <v>209</v>
      </c>
      <c r="K42" s="37" t="s">
        <v>31</v>
      </c>
      <c r="L42" s="37">
        <v>1</v>
      </c>
      <c r="M42" s="35">
        <f t="shared" si="2"/>
        <v>10</v>
      </c>
      <c r="N42" s="37">
        <v>20</v>
      </c>
      <c r="O42" s="46" t="s">
        <v>34</v>
      </c>
      <c r="P42" s="44">
        <v>2.0799999999999999E-2</v>
      </c>
      <c r="Q42" s="44">
        <f t="shared" si="3"/>
        <v>0.41599999999999998</v>
      </c>
      <c r="R42" s="37"/>
      <c r="S42" s="37"/>
    </row>
    <row r="43" spans="1:19" s="1" customFormat="1" ht="48">
      <c r="A43" s="32"/>
      <c r="B43" s="33">
        <f t="shared" si="0"/>
        <v>34</v>
      </c>
      <c r="C43" s="38" t="s">
        <v>203</v>
      </c>
      <c r="D43" s="35" t="s">
        <v>210</v>
      </c>
      <c r="E43" s="35" t="s">
        <v>211</v>
      </c>
      <c r="F43" s="35" t="s">
        <v>212</v>
      </c>
      <c r="G43" s="35" t="s">
        <v>213</v>
      </c>
      <c r="H43" s="35" t="s">
        <v>214</v>
      </c>
      <c r="I43" s="37" t="s">
        <v>31</v>
      </c>
      <c r="J43" s="35" t="s">
        <v>215</v>
      </c>
      <c r="K43" s="37" t="s">
        <v>31</v>
      </c>
      <c r="L43" s="35">
        <v>1</v>
      </c>
      <c r="M43" s="35">
        <f t="shared" si="2"/>
        <v>10</v>
      </c>
      <c r="N43" s="35">
        <v>100</v>
      </c>
      <c r="O43" s="41" t="s">
        <v>34</v>
      </c>
      <c r="P43" s="42">
        <v>6.7999999999999996E-3</v>
      </c>
      <c r="Q43" s="42">
        <f t="shared" si="3"/>
        <v>0.67999999999999994</v>
      </c>
      <c r="R43" s="35"/>
      <c r="S43" s="49"/>
    </row>
    <row r="44" spans="1:19" s="1" customFormat="1" ht="24">
      <c r="A44" s="32"/>
      <c r="B44" s="36">
        <f t="shared" si="0"/>
        <v>35</v>
      </c>
      <c r="C44" s="38" t="s">
        <v>216</v>
      </c>
      <c r="D44" s="39" t="s">
        <v>217</v>
      </c>
      <c r="E44" s="39" t="s">
        <v>31</v>
      </c>
      <c r="F44" s="39" t="s">
        <v>218</v>
      </c>
      <c r="G44" s="39" t="s">
        <v>31</v>
      </c>
      <c r="H44" s="39" t="s">
        <v>31</v>
      </c>
      <c r="I44" s="39" t="s">
        <v>31</v>
      </c>
      <c r="J44" s="39" t="s">
        <v>31</v>
      </c>
      <c r="K44" s="39" t="s">
        <v>31</v>
      </c>
      <c r="L44" s="39">
        <v>1</v>
      </c>
      <c r="M44" s="35">
        <f t="shared" ref="M44:M71" si="4">L44*10</f>
        <v>10</v>
      </c>
      <c r="N44" s="39" t="s">
        <v>31</v>
      </c>
      <c r="O44" s="39" t="s">
        <v>31</v>
      </c>
      <c r="P44" s="47" t="s">
        <v>31</v>
      </c>
      <c r="Q44" s="47" t="s">
        <v>31</v>
      </c>
      <c r="R44" s="39"/>
      <c r="S44" s="37"/>
    </row>
    <row r="45" spans="1:19" s="1" customFormat="1" ht="36">
      <c r="A45" s="32"/>
      <c r="B45" s="33">
        <f t="shared" si="0"/>
        <v>36</v>
      </c>
      <c r="C45" s="34" t="s">
        <v>219</v>
      </c>
      <c r="D45" s="35" t="s">
        <v>220</v>
      </c>
      <c r="E45" s="35" t="s">
        <v>221</v>
      </c>
      <c r="F45" s="35" t="s">
        <v>222</v>
      </c>
      <c r="G45" s="35" t="s">
        <v>223</v>
      </c>
      <c r="H45" s="35" t="s">
        <v>224</v>
      </c>
      <c r="I45" s="37" t="s">
        <v>31</v>
      </c>
      <c r="J45" s="35" t="s">
        <v>225</v>
      </c>
      <c r="K45" s="37" t="s">
        <v>31</v>
      </c>
      <c r="L45" s="35">
        <v>1</v>
      </c>
      <c r="M45" s="35">
        <f t="shared" si="4"/>
        <v>10</v>
      </c>
      <c r="N45" s="35">
        <v>20</v>
      </c>
      <c r="O45" s="41" t="s">
        <v>34</v>
      </c>
      <c r="P45" s="42">
        <v>3.04E-2</v>
      </c>
      <c r="Q45" s="42">
        <f t="shared" ref="Q45:Q70" si="5">P45*N45</f>
        <v>0.60799999999999998</v>
      </c>
      <c r="R45" s="35"/>
      <c r="S45" s="49"/>
    </row>
    <row r="46" spans="1:19" s="1" customFormat="1" ht="48">
      <c r="A46" s="32"/>
      <c r="B46" s="36">
        <f t="shared" si="0"/>
        <v>37</v>
      </c>
      <c r="C46" s="38" t="s">
        <v>219</v>
      </c>
      <c r="D46" s="37" t="s">
        <v>226</v>
      </c>
      <c r="E46" s="37" t="s">
        <v>227</v>
      </c>
      <c r="F46" s="37" t="s">
        <v>228</v>
      </c>
      <c r="G46" s="37" t="s">
        <v>229</v>
      </c>
      <c r="H46" s="37" t="s">
        <v>230</v>
      </c>
      <c r="I46" s="37" t="s">
        <v>31</v>
      </c>
      <c r="J46" s="37" t="s">
        <v>231</v>
      </c>
      <c r="K46" s="37" t="s">
        <v>31</v>
      </c>
      <c r="L46" s="37">
        <v>1</v>
      </c>
      <c r="M46" s="35">
        <f t="shared" si="4"/>
        <v>10</v>
      </c>
      <c r="N46" s="37">
        <v>20</v>
      </c>
      <c r="O46" s="43" t="s">
        <v>34</v>
      </c>
      <c r="P46" s="44">
        <v>3.3500000000000002E-2</v>
      </c>
      <c r="Q46" s="44">
        <f t="shared" si="5"/>
        <v>0.67</v>
      </c>
      <c r="R46" s="37"/>
      <c r="S46" s="37"/>
    </row>
    <row r="47" spans="1:19" s="1" customFormat="1">
      <c r="A47" s="32"/>
      <c r="B47" s="33">
        <f t="shared" si="0"/>
        <v>38</v>
      </c>
      <c r="C47" s="38" t="s">
        <v>232</v>
      </c>
      <c r="D47" s="35" t="s">
        <v>233</v>
      </c>
      <c r="E47" s="35" t="s">
        <v>234</v>
      </c>
      <c r="F47" s="35" t="s">
        <v>235</v>
      </c>
      <c r="G47" s="35" t="s">
        <v>236</v>
      </c>
      <c r="H47" s="35" t="s">
        <v>30</v>
      </c>
      <c r="I47" s="37" t="s">
        <v>31</v>
      </c>
      <c r="J47" s="35" t="s">
        <v>237</v>
      </c>
      <c r="K47" s="35" t="s">
        <v>238</v>
      </c>
      <c r="L47" s="35">
        <v>2</v>
      </c>
      <c r="M47" s="35">
        <f t="shared" si="4"/>
        <v>20</v>
      </c>
      <c r="N47" s="35">
        <v>100</v>
      </c>
      <c r="O47" s="41" t="s">
        <v>34</v>
      </c>
      <c r="P47" s="42">
        <v>8.0000000000000004E-4</v>
      </c>
      <c r="Q47" s="42">
        <f t="shared" si="5"/>
        <v>0.08</v>
      </c>
      <c r="R47" s="35"/>
      <c r="S47" s="49"/>
    </row>
    <row r="48" spans="1:19" s="76" customFormat="1">
      <c r="A48" s="69"/>
      <c r="B48" s="70">
        <f t="shared" si="0"/>
        <v>39</v>
      </c>
      <c r="C48" s="80" t="s">
        <v>232</v>
      </c>
      <c r="D48" s="72" t="s">
        <v>239</v>
      </c>
      <c r="E48" s="72" t="s">
        <v>240</v>
      </c>
      <c r="F48" s="72" t="s">
        <v>241</v>
      </c>
      <c r="G48" s="72" t="s">
        <v>242</v>
      </c>
      <c r="H48" s="72" t="s">
        <v>30</v>
      </c>
      <c r="I48" s="72" t="s">
        <v>31</v>
      </c>
      <c r="J48" s="72" t="s">
        <v>243</v>
      </c>
      <c r="K48" s="72" t="s">
        <v>244</v>
      </c>
      <c r="L48" s="72">
        <v>2</v>
      </c>
      <c r="M48" s="73">
        <f t="shared" si="4"/>
        <v>20</v>
      </c>
      <c r="N48" s="72">
        <v>40</v>
      </c>
      <c r="O48" s="81" t="s">
        <v>34</v>
      </c>
      <c r="P48" s="75">
        <v>2.1700000000000001E-2</v>
      </c>
      <c r="Q48" s="75">
        <f t="shared" si="5"/>
        <v>0.86799999999999999</v>
      </c>
      <c r="R48" s="72"/>
      <c r="S48" s="72"/>
    </row>
    <row r="49" spans="1:19" s="76" customFormat="1">
      <c r="A49" s="69"/>
      <c r="B49" s="77">
        <f t="shared" si="0"/>
        <v>40</v>
      </c>
      <c r="C49" s="80" t="s">
        <v>232</v>
      </c>
      <c r="D49" s="73" t="s">
        <v>245</v>
      </c>
      <c r="E49" s="73" t="s">
        <v>246</v>
      </c>
      <c r="F49" s="73" t="s">
        <v>247</v>
      </c>
      <c r="G49" s="73" t="s">
        <v>248</v>
      </c>
      <c r="H49" s="73" t="s">
        <v>30</v>
      </c>
      <c r="I49" s="72" t="s">
        <v>31</v>
      </c>
      <c r="J49" s="73" t="s">
        <v>249</v>
      </c>
      <c r="K49" s="73" t="s">
        <v>250</v>
      </c>
      <c r="L49" s="73">
        <v>5</v>
      </c>
      <c r="M49" s="73">
        <f t="shared" si="4"/>
        <v>50</v>
      </c>
      <c r="N49" s="73">
        <v>60</v>
      </c>
      <c r="O49" s="78" t="s">
        <v>34</v>
      </c>
      <c r="P49" s="79">
        <v>1.41E-2</v>
      </c>
      <c r="Q49" s="79">
        <f t="shared" si="5"/>
        <v>0.84599999999999997</v>
      </c>
      <c r="R49" s="73"/>
      <c r="S49" s="64"/>
    </row>
    <row r="50" spans="1:19" s="1" customFormat="1">
      <c r="A50" s="32"/>
      <c r="B50" s="36">
        <f t="shared" si="0"/>
        <v>41</v>
      </c>
      <c r="C50" s="38" t="s">
        <v>232</v>
      </c>
      <c r="D50" s="37" t="s">
        <v>251</v>
      </c>
      <c r="E50" s="37" t="s">
        <v>252</v>
      </c>
      <c r="F50" s="37" t="s">
        <v>247</v>
      </c>
      <c r="G50" s="37" t="s">
        <v>253</v>
      </c>
      <c r="H50" s="37" t="s">
        <v>30</v>
      </c>
      <c r="I50" s="37" t="s">
        <v>31</v>
      </c>
      <c r="J50" s="37" t="s">
        <v>254</v>
      </c>
      <c r="K50" s="37" t="s">
        <v>255</v>
      </c>
      <c r="L50" s="37">
        <v>2</v>
      </c>
      <c r="M50" s="35">
        <f t="shared" si="4"/>
        <v>20</v>
      </c>
      <c r="N50" s="37">
        <v>100</v>
      </c>
      <c r="O50" s="46" t="s">
        <v>34</v>
      </c>
      <c r="P50" s="44">
        <v>5.9999999999999995E-4</v>
      </c>
      <c r="Q50" s="44">
        <f t="shared" si="5"/>
        <v>0.06</v>
      </c>
      <c r="R50" s="37"/>
      <c r="S50" s="37"/>
    </row>
    <row r="51" spans="1:19" s="1" customFormat="1">
      <c r="A51" s="32"/>
      <c r="B51" s="33">
        <f t="shared" si="0"/>
        <v>42</v>
      </c>
      <c r="C51" s="34" t="s">
        <v>232</v>
      </c>
      <c r="D51" s="35" t="s">
        <v>256</v>
      </c>
      <c r="E51" s="35" t="s">
        <v>257</v>
      </c>
      <c r="F51" s="35" t="s">
        <v>241</v>
      </c>
      <c r="G51" s="35" t="s">
        <v>258</v>
      </c>
      <c r="H51" s="35" t="s">
        <v>30</v>
      </c>
      <c r="I51" s="37" t="s">
        <v>31</v>
      </c>
      <c r="J51" s="35" t="s">
        <v>259</v>
      </c>
      <c r="K51" s="35" t="s">
        <v>260</v>
      </c>
      <c r="L51" s="35">
        <v>1</v>
      </c>
      <c r="M51" s="35">
        <f t="shared" si="4"/>
        <v>10</v>
      </c>
      <c r="N51" s="35">
        <v>100</v>
      </c>
      <c r="O51" s="41" t="s">
        <v>34</v>
      </c>
      <c r="P51" s="42">
        <v>1E-3</v>
      </c>
      <c r="Q51" s="42">
        <f t="shared" si="5"/>
        <v>0.1</v>
      </c>
      <c r="R51" s="35"/>
      <c r="S51" s="49"/>
    </row>
    <row r="52" spans="1:19" s="76" customFormat="1">
      <c r="A52" s="69"/>
      <c r="B52" s="70">
        <f t="shared" si="0"/>
        <v>43</v>
      </c>
      <c r="C52" s="80" t="s">
        <v>232</v>
      </c>
      <c r="D52" s="72" t="s">
        <v>261</v>
      </c>
      <c r="E52" s="72" t="s">
        <v>262</v>
      </c>
      <c r="F52" s="72" t="s">
        <v>241</v>
      </c>
      <c r="G52" s="72" t="s">
        <v>263</v>
      </c>
      <c r="H52" s="72" t="s">
        <v>30</v>
      </c>
      <c r="I52" s="72" t="s">
        <v>31</v>
      </c>
      <c r="J52" s="72" t="s">
        <v>264</v>
      </c>
      <c r="K52" s="72" t="s">
        <v>265</v>
      </c>
      <c r="L52" s="72">
        <v>3</v>
      </c>
      <c r="M52" s="73">
        <f t="shared" si="4"/>
        <v>30</v>
      </c>
      <c r="N52" s="72">
        <v>100</v>
      </c>
      <c r="O52" s="74" t="s">
        <v>34</v>
      </c>
      <c r="P52" s="75">
        <v>1.1000000000000001E-3</v>
      </c>
      <c r="Q52" s="75">
        <f t="shared" si="5"/>
        <v>0.11</v>
      </c>
      <c r="R52" s="72"/>
      <c r="S52" s="72"/>
    </row>
    <row r="53" spans="1:19" s="1" customFormat="1" ht="36">
      <c r="A53" s="32"/>
      <c r="B53" s="33">
        <f t="shared" si="0"/>
        <v>44</v>
      </c>
      <c r="C53" s="34" t="s">
        <v>232</v>
      </c>
      <c r="D53" s="35" t="s">
        <v>266</v>
      </c>
      <c r="E53" s="35" t="s">
        <v>267</v>
      </c>
      <c r="F53" s="35" t="s">
        <v>268</v>
      </c>
      <c r="G53" s="35" t="s">
        <v>269</v>
      </c>
      <c r="H53" s="35" t="s">
        <v>270</v>
      </c>
      <c r="I53" s="37" t="s">
        <v>31</v>
      </c>
      <c r="J53" s="35" t="s">
        <v>271</v>
      </c>
      <c r="K53" s="35" t="s">
        <v>272</v>
      </c>
      <c r="L53" s="35">
        <v>3</v>
      </c>
      <c r="M53" s="35">
        <f t="shared" si="4"/>
        <v>30</v>
      </c>
      <c r="N53" s="35">
        <v>100</v>
      </c>
      <c r="O53" s="41" t="s">
        <v>34</v>
      </c>
      <c r="P53" s="42">
        <v>4.4999999999999997E-3</v>
      </c>
      <c r="Q53" s="42">
        <f t="shared" si="5"/>
        <v>0.44999999999999996</v>
      </c>
      <c r="R53" s="35"/>
      <c r="S53" s="49"/>
    </row>
    <row r="54" spans="1:19" s="1" customFormat="1">
      <c r="A54" s="32"/>
      <c r="B54" s="36">
        <f t="shared" si="0"/>
        <v>45</v>
      </c>
      <c r="C54" s="34" t="s">
        <v>232</v>
      </c>
      <c r="D54" s="37" t="s">
        <v>273</v>
      </c>
      <c r="E54" s="37" t="s">
        <v>274</v>
      </c>
      <c r="F54" s="37" t="s">
        <v>241</v>
      </c>
      <c r="G54" s="37" t="s">
        <v>275</v>
      </c>
      <c r="H54" s="37" t="s">
        <v>30</v>
      </c>
      <c r="I54" s="37" t="s">
        <v>31</v>
      </c>
      <c r="J54" s="37" t="s">
        <v>276</v>
      </c>
      <c r="K54" s="37" t="s">
        <v>277</v>
      </c>
      <c r="L54" s="37">
        <v>1</v>
      </c>
      <c r="M54" s="35">
        <f t="shared" si="4"/>
        <v>10</v>
      </c>
      <c r="N54" s="37">
        <v>100</v>
      </c>
      <c r="O54" s="43" t="s">
        <v>34</v>
      </c>
      <c r="P54" s="44">
        <v>1.1999999999999999E-3</v>
      </c>
      <c r="Q54" s="44">
        <f t="shared" si="5"/>
        <v>0.12</v>
      </c>
      <c r="R54" s="37"/>
      <c r="S54" s="37"/>
    </row>
    <row r="55" spans="1:19" s="76" customFormat="1">
      <c r="A55" s="69"/>
      <c r="B55" s="77">
        <f t="shared" si="0"/>
        <v>46</v>
      </c>
      <c r="C55" s="71" t="s">
        <v>232</v>
      </c>
      <c r="D55" s="73" t="s">
        <v>278</v>
      </c>
      <c r="E55" s="73" t="s">
        <v>279</v>
      </c>
      <c r="F55" s="73" t="s">
        <v>241</v>
      </c>
      <c r="G55" s="73" t="s">
        <v>280</v>
      </c>
      <c r="H55" s="73" t="s">
        <v>30</v>
      </c>
      <c r="I55" s="72" t="s">
        <v>31</v>
      </c>
      <c r="J55" s="73" t="s">
        <v>281</v>
      </c>
      <c r="K55" s="73" t="s">
        <v>282</v>
      </c>
      <c r="L55" s="73">
        <v>1</v>
      </c>
      <c r="M55" s="73">
        <f t="shared" si="4"/>
        <v>10</v>
      </c>
      <c r="N55" s="73">
        <v>100</v>
      </c>
      <c r="O55" s="82" t="s">
        <v>34</v>
      </c>
      <c r="P55" s="79">
        <v>2.0999999999999999E-3</v>
      </c>
      <c r="Q55" s="79">
        <f t="shared" si="5"/>
        <v>0.21</v>
      </c>
      <c r="R55" s="73"/>
      <c r="S55" s="64"/>
    </row>
    <row r="56" spans="1:19" s="76" customFormat="1">
      <c r="A56" s="69"/>
      <c r="B56" s="70">
        <f t="shared" si="0"/>
        <v>47</v>
      </c>
      <c r="C56" s="71" t="s">
        <v>232</v>
      </c>
      <c r="D56" s="72" t="s">
        <v>283</v>
      </c>
      <c r="E56" s="72" t="s">
        <v>284</v>
      </c>
      <c r="F56" s="72" t="s">
        <v>241</v>
      </c>
      <c r="G56" s="72" t="s">
        <v>285</v>
      </c>
      <c r="H56" s="72" t="s">
        <v>30</v>
      </c>
      <c r="I56" s="72" t="s">
        <v>31</v>
      </c>
      <c r="J56" s="72" t="s">
        <v>286</v>
      </c>
      <c r="K56" s="72" t="s">
        <v>287</v>
      </c>
      <c r="L56" s="72">
        <v>1</v>
      </c>
      <c r="M56" s="73">
        <f t="shared" si="4"/>
        <v>10</v>
      </c>
      <c r="N56" s="72">
        <v>20</v>
      </c>
      <c r="O56" s="74" t="s">
        <v>34</v>
      </c>
      <c r="P56" s="75">
        <v>3.7499999999999999E-2</v>
      </c>
      <c r="Q56" s="75">
        <f t="shared" si="5"/>
        <v>0.75</v>
      </c>
      <c r="R56" s="72"/>
      <c r="S56" s="72"/>
    </row>
    <row r="57" spans="1:19">
      <c r="A57" s="2"/>
      <c r="B57" s="36">
        <f t="shared" si="0"/>
        <v>48</v>
      </c>
      <c r="C57" s="94" t="s">
        <v>232</v>
      </c>
      <c r="D57" s="93" t="s">
        <v>377</v>
      </c>
      <c r="E57" s="93" t="s">
        <v>378</v>
      </c>
      <c r="F57" s="93" t="s">
        <v>241</v>
      </c>
      <c r="G57" s="39" t="s">
        <v>379</v>
      </c>
      <c r="H57" s="93" t="s">
        <v>30</v>
      </c>
      <c r="I57" s="93" t="s">
        <v>381</v>
      </c>
      <c r="J57" s="93" t="s">
        <v>382</v>
      </c>
      <c r="K57" s="93" t="s">
        <v>380</v>
      </c>
      <c r="L57" s="35">
        <v>1</v>
      </c>
      <c r="M57" s="73">
        <f t="shared" si="4"/>
        <v>10</v>
      </c>
      <c r="N57" s="35">
        <v>100</v>
      </c>
      <c r="O57" s="41" t="s">
        <v>34</v>
      </c>
      <c r="P57" s="42">
        <v>1E-3</v>
      </c>
      <c r="Q57" s="44">
        <f t="shared" si="5"/>
        <v>0.1</v>
      </c>
      <c r="R57" s="35"/>
      <c r="S57" s="35"/>
    </row>
    <row r="58" spans="1:19" s="76" customFormat="1">
      <c r="A58" s="69"/>
      <c r="B58" s="77">
        <f t="shared" si="0"/>
        <v>49</v>
      </c>
      <c r="C58" s="71" t="s">
        <v>288</v>
      </c>
      <c r="D58" s="73" t="s">
        <v>289</v>
      </c>
      <c r="E58" s="73" t="s">
        <v>290</v>
      </c>
      <c r="F58" s="73" t="s">
        <v>291</v>
      </c>
      <c r="G58" s="73" t="s">
        <v>291</v>
      </c>
      <c r="H58" s="73" t="s">
        <v>292</v>
      </c>
      <c r="I58" s="72" t="s">
        <v>31</v>
      </c>
      <c r="J58" s="73" t="s">
        <v>293</v>
      </c>
      <c r="K58" s="73" t="s">
        <v>31</v>
      </c>
      <c r="L58" s="73">
        <v>2</v>
      </c>
      <c r="M58" s="73">
        <f t="shared" si="4"/>
        <v>20</v>
      </c>
      <c r="N58" s="73">
        <v>25</v>
      </c>
      <c r="O58" s="78" t="s">
        <v>34</v>
      </c>
      <c r="P58" s="79">
        <v>0.1729</v>
      </c>
      <c r="Q58" s="79">
        <f t="shared" si="5"/>
        <v>4.3224999999999998</v>
      </c>
      <c r="R58" s="73"/>
      <c r="S58" s="64"/>
    </row>
    <row r="59" spans="1:19" s="1" customFormat="1">
      <c r="A59" s="32"/>
      <c r="B59" s="36">
        <f t="shared" si="0"/>
        <v>50</v>
      </c>
      <c r="C59" s="34" t="s">
        <v>294</v>
      </c>
      <c r="D59" s="37" t="s">
        <v>295</v>
      </c>
      <c r="E59" s="37" t="s">
        <v>296</v>
      </c>
      <c r="F59" s="37" t="s">
        <v>297</v>
      </c>
      <c r="G59" s="37" t="s">
        <v>298</v>
      </c>
      <c r="H59" s="37" t="s">
        <v>299</v>
      </c>
      <c r="I59" s="37" t="s">
        <v>31</v>
      </c>
      <c r="J59" s="37" t="s">
        <v>31</v>
      </c>
      <c r="K59" s="37" t="s">
        <v>31</v>
      </c>
      <c r="L59" s="37">
        <v>1</v>
      </c>
      <c r="M59" s="35">
        <f t="shared" si="4"/>
        <v>10</v>
      </c>
      <c r="N59" s="37">
        <v>11</v>
      </c>
      <c r="O59" s="43" t="s">
        <v>311</v>
      </c>
      <c r="P59" s="44">
        <v>16.25</v>
      </c>
      <c r="Q59" s="44">
        <f t="shared" si="5"/>
        <v>178.75</v>
      </c>
      <c r="R59" s="37"/>
      <c r="S59" s="37"/>
    </row>
    <row r="60" spans="1:19" s="76" customFormat="1">
      <c r="A60" s="69"/>
      <c r="B60" s="77">
        <f t="shared" si="0"/>
        <v>51</v>
      </c>
      <c r="C60" s="71" t="s">
        <v>294</v>
      </c>
      <c r="D60" s="73" t="s">
        <v>300</v>
      </c>
      <c r="E60" s="73" t="s">
        <v>301</v>
      </c>
      <c r="F60" s="73" t="s">
        <v>302</v>
      </c>
      <c r="G60" s="73" t="s">
        <v>303</v>
      </c>
      <c r="H60" s="73" t="s">
        <v>304</v>
      </c>
      <c r="I60" s="72" t="s">
        <v>31</v>
      </c>
      <c r="J60" s="73" t="s">
        <v>305</v>
      </c>
      <c r="K60" s="73" t="s">
        <v>31</v>
      </c>
      <c r="L60" s="73">
        <v>1</v>
      </c>
      <c r="M60" s="73">
        <f t="shared" si="4"/>
        <v>10</v>
      </c>
      <c r="N60" s="73">
        <v>11</v>
      </c>
      <c r="O60" s="78" t="s">
        <v>34</v>
      </c>
      <c r="P60" s="79">
        <v>0.66659999999999997</v>
      </c>
      <c r="Q60" s="79">
        <f t="shared" si="5"/>
        <v>7.3325999999999993</v>
      </c>
      <c r="R60" s="73"/>
      <c r="S60" s="64"/>
    </row>
    <row r="61" spans="1:19" s="1" customFormat="1">
      <c r="A61" s="32"/>
      <c r="B61" s="36">
        <f t="shared" si="0"/>
        <v>52</v>
      </c>
      <c r="C61" s="34" t="s">
        <v>294</v>
      </c>
      <c r="D61" s="37" t="s">
        <v>306</v>
      </c>
      <c r="E61" s="37" t="s">
        <v>307</v>
      </c>
      <c r="F61" s="37" t="s">
        <v>308</v>
      </c>
      <c r="G61" s="37" t="s">
        <v>309</v>
      </c>
      <c r="H61" s="37" t="s">
        <v>310</v>
      </c>
      <c r="I61" s="37" t="s">
        <v>31</v>
      </c>
      <c r="J61" s="37" t="s">
        <v>31</v>
      </c>
      <c r="K61" s="37" t="s">
        <v>31</v>
      </c>
      <c r="L61" s="37">
        <v>1</v>
      </c>
      <c r="M61" s="35">
        <f t="shared" si="4"/>
        <v>10</v>
      </c>
      <c r="N61" s="37">
        <v>11</v>
      </c>
      <c r="O61" s="43" t="s">
        <v>365</v>
      </c>
      <c r="P61" s="44">
        <v>6.25</v>
      </c>
      <c r="Q61" s="44">
        <f t="shared" si="5"/>
        <v>68.75</v>
      </c>
      <c r="R61" s="37"/>
      <c r="S61" s="37"/>
    </row>
    <row r="62" spans="1:19" s="1" customFormat="1">
      <c r="A62" s="32"/>
      <c r="B62" s="33">
        <f t="shared" si="0"/>
        <v>53</v>
      </c>
      <c r="C62" s="34" t="s">
        <v>294</v>
      </c>
      <c r="D62" s="35" t="s">
        <v>312</v>
      </c>
      <c r="E62" s="35" t="s">
        <v>313</v>
      </c>
      <c r="F62" s="35" t="s">
        <v>314</v>
      </c>
      <c r="G62" s="35" t="s">
        <v>315</v>
      </c>
      <c r="H62" s="35" t="s">
        <v>316</v>
      </c>
      <c r="I62" s="37" t="s">
        <v>31</v>
      </c>
      <c r="J62" s="35" t="s">
        <v>317</v>
      </c>
      <c r="K62" s="35" t="s">
        <v>31</v>
      </c>
      <c r="L62" s="35">
        <v>1</v>
      </c>
      <c r="M62" s="35">
        <f t="shared" si="4"/>
        <v>10</v>
      </c>
      <c r="N62" s="35">
        <v>11</v>
      </c>
      <c r="O62" s="45" t="s">
        <v>34</v>
      </c>
      <c r="P62" s="42">
        <v>0.26750000000000002</v>
      </c>
      <c r="Q62" s="42">
        <f t="shared" si="5"/>
        <v>2.9425000000000003</v>
      </c>
      <c r="R62" s="35"/>
      <c r="S62" s="49"/>
    </row>
    <row r="63" spans="1:19" s="1" customFormat="1">
      <c r="A63" s="32"/>
      <c r="B63" s="36">
        <f t="shared" si="0"/>
        <v>54</v>
      </c>
      <c r="C63" s="38" t="s">
        <v>294</v>
      </c>
      <c r="D63" s="37" t="s">
        <v>318</v>
      </c>
      <c r="E63" s="37" t="s">
        <v>319</v>
      </c>
      <c r="F63" s="37" t="s">
        <v>320</v>
      </c>
      <c r="G63" s="37" t="s">
        <v>321</v>
      </c>
      <c r="H63" s="37" t="s">
        <v>322</v>
      </c>
      <c r="I63" s="37" t="s">
        <v>31</v>
      </c>
      <c r="J63" s="37" t="s">
        <v>323</v>
      </c>
      <c r="K63" s="37"/>
      <c r="L63" s="37">
        <v>3</v>
      </c>
      <c r="M63" s="35">
        <f t="shared" si="4"/>
        <v>30</v>
      </c>
      <c r="N63" s="37">
        <v>31</v>
      </c>
      <c r="O63" s="46" t="s">
        <v>34</v>
      </c>
      <c r="P63" s="44">
        <v>0.59030000000000005</v>
      </c>
      <c r="Q63" s="44">
        <f t="shared" si="5"/>
        <v>18.299300000000002</v>
      </c>
      <c r="R63" s="37"/>
      <c r="S63" s="37"/>
    </row>
    <row r="64" spans="1:19" s="1" customFormat="1">
      <c r="A64" s="32"/>
      <c r="B64" s="33">
        <f t="shared" si="0"/>
        <v>55</v>
      </c>
      <c r="C64" s="34" t="s">
        <v>294</v>
      </c>
      <c r="D64" s="35" t="s">
        <v>324</v>
      </c>
      <c r="E64" s="35" t="s">
        <v>325</v>
      </c>
      <c r="F64" s="35" t="s">
        <v>326</v>
      </c>
      <c r="G64" s="35" t="s">
        <v>327</v>
      </c>
      <c r="H64" s="35" t="s">
        <v>328</v>
      </c>
      <c r="I64" s="37" t="s">
        <v>31</v>
      </c>
      <c r="J64" s="35" t="s">
        <v>329</v>
      </c>
      <c r="K64" s="35"/>
      <c r="L64" s="35">
        <v>1</v>
      </c>
      <c r="M64" s="35">
        <f t="shared" si="4"/>
        <v>10</v>
      </c>
      <c r="N64" s="35">
        <v>11</v>
      </c>
      <c r="O64" s="45" t="s">
        <v>34</v>
      </c>
      <c r="P64" s="42">
        <v>0.36120000000000002</v>
      </c>
      <c r="Q64" s="42">
        <f t="shared" si="5"/>
        <v>3.9732000000000003</v>
      </c>
      <c r="R64" s="35"/>
      <c r="S64" s="49"/>
    </row>
    <row r="65" spans="1:19" s="1" customFormat="1">
      <c r="A65" s="32"/>
      <c r="B65" s="36">
        <f t="shared" si="0"/>
        <v>56</v>
      </c>
      <c r="C65" s="38" t="s">
        <v>294</v>
      </c>
      <c r="D65" s="37" t="s">
        <v>330</v>
      </c>
      <c r="E65" s="37" t="s">
        <v>331</v>
      </c>
      <c r="F65" s="37" t="s">
        <v>332</v>
      </c>
      <c r="G65" s="37" t="s">
        <v>333</v>
      </c>
      <c r="H65" s="37" t="s">
        <v>334</v>
      </c>
      <c r="I65" s="37" t="s">
        <v>31</v>
      </c>
      <c r="J65" s="37" t="s">
        <v>335</v>
      </c>
      <c r="K65" s="37"/>
      <c r="L65" s="37">
        <v>1</v>
      </c>
      <c r="M65" s="35">
        <f t="shared" si="4"/>
        <v>10</v>
      </c>
      <c r="N65" s="37">
        <v>15</v>
      </c>
      <c r="O65" s="46" t="s">
        <v>34</v>
      </c>
      <c r="P65" s="44">
        <v>0.16880000000000001</v>
      </c>
      <c r="Q65" s="44">
        <f t="shared" si="5"/>
        <v>2.532</v>
      </c>
      <c r="R65" s="37"/>
      <c r="S65" s="37"/>
    </row>
    <row r="66" spans="1:19" s="76" customFormat="1">
      <c r="A66" s="69"/>
      <c r="B66" s="77">
        <f t="shared" si="0"/>
        <v>57</v>
      </c>
      <c r="C66" s="71" t="s">
        <v>294</v>
      </c>
      <c r="D66" s="73" t="s">
        <v>336</v>
      </c>
      <c r="E66" s="73" t="s">
        <v>337</v>
      </c>
      <c r="F66" s="73" t="s">
        <v>338</v>
      </c>
      <c r="G66" s="73" t="s">
        <v>339</v>
      </c>
      <c r="H66" s="73" t="s">
        <v>322</v>
      </c>
      <c r="I66" s="72" t="s">
        <v>31</v>
      </c>
      <c r="J66" s="73" t="s">
        <v>340</v>
      </c>
      <c r="K66" s="73"/>
      <c r="L66" s="73">
        <v>1</v>
      </c>
      <c r="M66" s="73">
        <f t="shared" si="4"/>
        <v>10</v>
      </c>
      <c r="N66" s="73">
        <v>11</v>
      </c>
      <c r="O66" s="78" t="s">
        <v>34</v>
      </c>
      <c r="P66" s="79">
        <v>0.96409999999999996</v>
      </c>
      <c r="Q66" s="79">
        <f t="shared" si="5"/>
        <v>10.6051</v>
      </c>
      <c r="R66" s="73"/>
      <c r="S66" s="64"/>
    </row>
    <row r="67" spans="1:19" s="1" customFormat="1" ht="36">
      <c r="A67" s="32"/>
      <c r="B67" s="36">
        <f t="shared" si="0"/>
        <v>58</v>
      </c>
      <c r="C67" s="38" t="s">
        <v>341</v>
      </c>
      <c r="D67" s="37" t="s">
        <v>342</v>
      </c>
      <c r="E67" s="37" t="s">
        <v>343</v>
      </c>
      <c r="F67" s="37" t="s">
        <v>168</v>
      </c>
      <c r="G67" s="37" t="s">
        <v>344</v>
      </c>
      <c r="H67" s="37" t="s">
        <v>345</v>
      </c>
      <c r="I67" s="37" t="s">
        <v>31</v>
      </c>
      <c r="J67" s="37" t="s">
        <v>346</v>
      </c>
      <c r="K67" s="37" t="s">
        <v>347</v>
      </c>
      <c r="L67" s="37">
        <v>1</v>
      </c>
      <c r="M67" s="35">
        <f t="shared" si="4"/>
        <v>10</v>
      </c>
      <c r="N67" s="37">
        <v>20</v>
      </c>
      <c r="O67" s="46" t="s">
        <v>34</v>
      </c>
      <c r="P67" s="44">
        <v>6.6100000000000006E-2</v>
      </c>
      <c r="Q67" s="44">
        <f t="shared" si="5"/>
        <v>1.3220000000000001</v>
      </c>
      <c r="R67" s="37"/>
      <c r="S67" s="37"/>
    </row>
    <row r="68" spans="1:19" s="76" customFormat="1">
      <c r="A68" s="69"/>
      <c r="B68" s="77">
        <f t="shared" si="0"/>
        <v>59</v>
      </c>
      <c r="C68" s="80" t="s">
        <v>341</v>
      </c>
      <c r="D68" s="73" t="s">
        <v>348</v>
      </c>
      <c r="E68" s="73" t="s">
        <v>349</v>
      </c>
      <c r="F68" s="72" t="s">
        <v>168</v>
      </c>
      <c r="G68" s="73" t="s">
        <v>350</v>
      </c>
      <c r="H68" s="73" t="s">
        <v>351</v>
      </c>
      <c r="I68" s="72" t="s">
        <v>31</v>
      </c>
      <c r="J68" s="73" t="s">
        <v>352</v>
      </c>
      <c r="K68" s="73" t="s">
        <v>353</v>
      </c>
      <c r="L68" s="73">
        <v>1</v>
      </c>
      <c r="M68" s="73">
        <f t="shared" si="4"/>
        <v>10</v>
      </c>
      <c r="N68" s="73">
        <v>15</v>
      </c>
      <c r="O68" s="78" t="s">
        <v>34</v>
      </c>
      <c r="P68" s="79">
        <v>0.1401</v>
      </c>
      <c r="Q68" s="79">
        <f t="shared" si="5"/>
        <v>2.1015000000000001</v>
      </c>
      <c r="R68" s="73"/>
      <c r="S68" s="64"/>
    </row>
    <row r="69" spans="1:19">
      <c r="A69" s="2"/>
      <c r="B69" s="33">
        <f t="shared" si="0"/>
        <v>60</v>
      </c>
      <c r="C69" s="38" t="s">
        <v>359</v>
      </c>
      <c r="D69" s="35" t="s">
        <v>31</v>
      </c>
      <c r="E69" s="35" t="s">
        <v>360</v>
      </c>
      <c r="F69" s="37" t="s">
        <v>31</v>
      </c>
      <c r="G69" s="35" t="s">
        <v>361</v>
      </c>
      <c r="H69" s="35" t="s">
        <v>31</v>
      </c>
      <c r="I69" s="37" t="s">
        <v>31</v>
      </c>
      <c r="J69" s="35" t="s">
        <v>31</v>
      </c>
      <c r="K69" s="35"/>
      <c r="L69" s="35">
        <v>5</v>
      </c>
      <c r="M69" s="35">
        <f t="shared" si="4"/>
        <v>50</v>
      </c>
      <c r="N69" s="35">
        <v>51</v>
      </c>
      <c r="O69" s="41" t="s">
        <v>363</v>
      </c>
      <c r="P69" s="42">
        <v>7.5</v>
      </c>
      <c r="Q69" s="42">
        <f t="shared" si="5"/>
        <v>382.5</v>
      </c>
      <c r="R69" s="35"/>
      <c r="S69" s="64"/>
    </row>
    <row r="70" spans="1:19">
      <c r="A70" s="2"/>
      <c r="B70" s="33">
        <f t="shared" si="0"/>
        <v>61</v>
      </c>
      <c r="C70" s="38" t="s">
        <v>359</v>
      </c>
      <c r="D70" s="95" t="s">
        <v>31</v>
      </c>
      <c r="E70" s="95" t="s">
        <v>384</v>
      </c>
      <c r="F70" s="37" t="s">
        <v>31</v>
      </c>
      <c r="G70" s="95" t="s">
        <v>383</v>
      </c>
      <c r="H70" s="35" t="s">
        <v>31</v>
      </c>
      <c r="I70" s="93" t="s">
        <v>31</v>
      </c>
      <c r="J70" s="95" t="s">
        <v>31</v>
      </c>
      <c r="K70" s="35" t="s">
        <v>31</v>
      </c>
      <c r="L70" s="35">
        <v>1</v>
      </c>
      <c r="M70" s="35">
        <f t="shared" si="4"/>
        <v>10</v>
      </c>
      <c r="N70" s="35">
        <v>11</v>
      </c>
      <c r="O70" s="41" t="s">
        <v>385</v>
      </c>
      <c r="P70" s="42">
        <v>1.32</v>
      </c>
      <c r="Q70" s="42">
        <f t="shared" si="5"/>
        <v>14.520000000000001</v>
      </c>
      <c r="R70" s="35"/>
      <c r="S70" s="64"/>
    </row>
    <row r="71" spans="1:19">
      <c r="A71" s="2"/>
      <c r="B71" s="33">
        <f t="shared" si="0"/>
        <v>62</v>
      </c>
      <c r="C71" s="38" t="s">
        <v>359</v>
      </c>
      <c r="D71" s="35"/>
      <c r="E71" s="35" t="s">
        <v>364</v>
      </c>
      <c r="F71" s="37"/>
      <c r="G71" s="35" t="s">
        <v>362</v>
      </c>
      <c r="H71" s="35"/>
      <c r="I71" s="37"/>
      <c r="J71" s="35"/>
      <c r="K71" s="35"/>
      <c r="L71" s="35">
        <v>6</v>
      </c>
      <c r="M71" s="35">
        <f t="shared" si="4"/>
        <v>60</v>
      </c>
      <c r="N71" s="35">
        <v>60</v>
      </c>
      <c r="O71" s="41"/>
      <c r="P71" s="42"/>
      <c r="Q71" s="42"/>
      <c r="R71" s="35"/>
      <c r="S71" s="64"/>
    </row>
    <row r="72" spans="1:19" ht="18.75">
      <c r="A72" s="2"/>
      <c r="B72" s="51"/>
      <c r="C72" s="52"/>
      <c r="D72" s="53"/>
      <c r="E72" s="54"/>
      <c r="F72" s="55"/>
      <c r="G72" s="56"/>
      <c r="H72" s="55"/>
      <c r="I72" s="56"/>
      <c r="J72" s="55"/>
      <c r="K72" s="56"/>
      <c r="L72" s="56"/>
      <c r="M72" s="56"/>
      <c r="N72" s="85" t="s">
        <v>354</v>
      </c>
      <c r="O72" s="86"/>
      <c r="P72" s="86"/>
      <c r="Q72" s="61">
        <f>SUM(Q10:Q71)</f>
        <v>747.97019999999998</v>
      </c>
      <c r="R72" s="89"/>
      <c r="S72" s="90"/>
    </row>
    <row r="73" spans="1:19" ht="18.75">
      <c r="A73" s="2"/>
      <c r="B73" s="57"/>
      <c r="C73" s="58"/>
      <c r="D73" s="59"/>
      <c r="E73" s="60"/>
      <c r="F73" s="60"/>
      <c r="G73" s="60"/>
      <c r="H73" s="60"/>
      <c r="I73" s="60"/>
      <c r="J73" s="60"/>
      <c r="K73" s="60"/>
      <c r="L73" s="60"/>
      <c r="M73" s="60"/>
      <c r="N73" s="85" t="s">
        <v>355</v>
      </c>
      <c r="O73" s="86"/>
      <c r="P73" s="86"/>
      <c r="Q73" s="62">
        <f>Q72/10</f>
        <v>74.797020000000003</v>
      </c>
      <c r="R73" s="91"/>
      <c r="S73" s="92"/>
    </row>
  </sheetData>
  <mergeCells count="5">
    <mergeCell ref="K1:S1"/>
    <mergeCell ref="N72:P72"/>
    <mergeCell ref="N73:P73"/>
    <mergeCell ref="S3:S8"/>
    <mergeCell ref="R72:S73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3" r:id="rId14"/>
    <hyperlink ref="O24" r:id="rId15"/>
    <hyperlink ref="O25" r:id="rId16"/>
    <hyperlink ref="O28" r:id="rId17"/>
    <hyperlink ref="O29" r:id="rId18"/>
    <hyperlink ref="O30" r:id="rId19"/>
    <hyperlink ref="O32" r:id="rId20"/>
    <hyperlink ref="O33" r:id="rId21"/>
    <hyperlink ref="O36" r:id="rId22"/>
    <hyperlink ref="O37" r:id="rId23"/>
    <hyperlink ref="O38" r:id="rId24"/>
    <hyperlink ref="O39" r:id="rId25"/>
    <hyperlink ref="O40" r:id="rId26"/>
    <hyperlink ref="O41" r:id="rId27"/>
    <hyperlink ref="O42" r:id="rId28"/>
    <hyperlink ref="O43" r:id="rId29"/>
    <hyperlink ref="O45" r:id="rId30"/>
    <hyperlink ref="O46" r:id="rId31"/>
    <hyperlink ref="O47" r:id="rId32"/>
    <hyperlink ref="O48" r:id="rId33"/>
    <hyperlink ref="O49" r:id="rId34"/>
    <hyperlink ref="O50" r:id="rId35"/>
    <hyperlink ref="O51" r:id="rId36"/>
    <hyperlink ref="O52" r:id="rId37"/>
    <hyperlink ref="O53" r:id="rId38"/>
    <hyperlink ref="O54" r:id="rId39"/>
    <hyperlink ref="O55" r:id="rId40"/>
    <hyperlink ref="O56" r:id="rId41"/>
    <hyperlink ref="O58" r:id="rId42"/>
    <hyperlink ref="O60" r:id="rId43"/>
    <hyperlink ref="O62" r:id="rId44"/>
    <hyperlink ref="O63" r:id="rId45"/>
    <hyperlink ref="O64" r:id="rId46"/>
    <hyperlink ref="O65" r:id="rId47"/>
    <hyperlink ref="O66" r:id="rId48"/>
    <hyperlink ref="O67" r:id="rId49"/>
    <hyperlink ref="O68" r:id="rId50"/>
    <hyperlink ref="O26" r:id="rId51"/>
    <hyperlink ref="O69" r:id="rId52"/>
    <hyperlink ref="O61" r:id="rId53"/>
    <hyperlink ref="O59" r:id="rId54"/>
    <hyperlink ref="O27" r:id="rId55"/>
    <hyperlink ref="O31" r:id="rId56"/>
    <hyperlink ref="O57" r:id="rId57"/>
    <hyperlink ref="O70" r:id="rId58"/>
  </hyperlinks>
  <pageMargins left="0.75" right="0.75" top="1" bottom="1" header="0.5" footer="0.5"/>
  <drawing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10 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2023-11-23T12:27:31Z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8759AEA4C4FF401E8BF1D20E41D93347_13</vt:lpwstr>
  </property>
  <property fmtid="{D5CDD505-2E9C-101B-9397-08002B2CF9AE}" pid="3" name="KSOProductBuildVer">
    <vt:lpwstr>1033-12.2.0.13266</vt:lpwstr>
  </property>
</Properties>
</file>