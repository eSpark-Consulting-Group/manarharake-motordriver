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ftikhar Ahmed\OneDrive\Desktop\"/>
    </mc:Choice>
  </mc:AlternateContent>
  <bookViews>
    <workbookView xWindow="0" yWindow="0" windowWidth="23040" windowHeight="9150"/>
  </bookViews>
  <sheets>
    <sheet name="Sheet" sheetId="1" r:id="rId1"/>
  </sheets>
  <calcPr calcId="162913"/>
</workbook>
</file>

<file path=xl/calcChain.xml><?xml version="1.0" encoding="utf-8"?>
<calcChain xmlns="http://schemas.openxmlformats.org/spreadsheetml/2006/main">
  <c r="B50" i="1" l="1"/>
  <c r="B24" i="1"/>
  <c r="B64" i="1" l="1"/>
  <c r="B62" i="1"/>
  <c r="B63" i="1"/>
  <c r="B61" i="1"/>
  <c r="B60" i="1"/>
  <c r="B59" i="1"/>
  <c r="B58" i="1"/>
  <c r="B57" i="1"/>
  <c r="B56" i="1"/>
  <c r="B55" i="1"/>
  <c r="B54" i="1"/>
  <c r="B53" i="1"/>
  <c r="B52" i="1"/>
  <c r="B51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<sst xmlns="http://schemas.openxmlformats.org/spreadsheetml/2006/main" count="439" uniqueCount="309">
  <si>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</si>
  <si>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</si>
  <si>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</si>
  <si>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</si>
  <si>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</si>
  <si>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</si>
  <si>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</si>
  <si>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</si>
  <si>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</si>
  <si>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Links</t>
  </si>
  <si>
    <t>Remarks</t>
  </si>
  <si>
    <t>Capacitor</t>
  </si>
  <si>
    <t>C1, C2, C11, C63</t>
  </si>
  <si>
    <t>CAP CER 1UF 16V X5R 0402</t>
  </si>
  <si>
    <t>Cap-0402</t>
  </si>
  <si>
    <t>CC0402KRX5R7BB105</t>
  </si>
  <si>
    <t>Yageo</t>
  </si>
  <si>
    <t>-</t>
  </si>
  <si>
    <t>1uF</t>
  </si>
  <si>
    <t>LCSC</t>
  </si>
  <si>
    <t>C3, C5, C7, C9, C10, C23, C26, C27, C30, C31, C32, C33, C34, C35, C36, C37, C38, C45, C46</t>
  </si>
  <si>
    <t>CAP CER 0.22UF 25V X5R 0402</t>
  </si>
  <si>
    <t>CC0402KRX5R8BB224</t>
  </si>
  <si>
    <t>0.22uF</t>
  </si>
  <si>
    <t>C4, C6, C8, C15, C18, C20, C22, C25, C29</t>
  </si>
  <si>
    <t>CAP CER 4.7UF 10V X5R 0402</t>
  </si>
  <si>
    <t>CC0402KRX5R6BB475</t>
  </si>
  <si>
    <t>4.7uF</t>
  </si>
  <si>
    <t>C12, C13, C14, C16, C17, C19, C21, C47, C58, C59</t>
  </si>
  <si>
    <t>CAP CER 0.1UF 25V X5R 0402</t>
  </si>
  <si>
    <t>CC0402KRX5R8BB104</t>
  </si>
  <si>
    <t>0.1uF</t>
  </si>
  <si>
    <t>C24, C28, C61, C62</t>
  </si>
  <si>
    <t>CAP CER 22UF 10V X5R 0603</t>
  </si>
  <si>
    <t>Cap-0603</t>
  </si>
  <si>
    <t>CC0603MRX5R6BB226</t>
  </si>
  <si>
    <t>22uF</t>
  </si>
  <si>
    <t>C39, C40, C42, C43</t>
  </si>
  <si>
    <t>CAP CER 12PF 50V C0G/NP0 0402</t>
  </si>
  <si>
    <t>GJM1555C1H120GB01D</t>
  </si>
  <si>
    <t>Murata</t>
  </si>
  <si>
    <t>12pF</t>
  </si>
  <si>
    <t>C41</t>
  </si>
  <si>
    <t>10V 33uF X5R ±20% 1206 ROHS</t>
  </si>
  <si>
    <t>Cap-1206</t>
  </si>
  <si>
    <t>C3216X5R1A336MTJ00N</t>
  </si>
  <si>
    <t>TDK</t>
  </si>
  <si>
    <t>33uF</t>
  </si>
  <si>
    <t>C44, C48, C60</t>
  </si>
  <si>
    <t>CAP CER 10UF 25V X5R 0603</t>
  </si>
  <si>
    <t>CL10A106MA8NRNC</t>
  </si>
  <si>
    <t>Samsung</t>
  </si>
  <si>
    <t>10uF</t>
  </si>
  <si>
    <t>C49, C50, C51</t>
  </si>
  <si>
    <t>CAP TANT 10UF 10% 16V 1206</t>
  </si>
  <si>
    <t>Case-A</t>
  </si>
  <si>
    <t>T491A106K016AT</t>
  </si>
  <si>
    <t>KEMET</t>
  </si>
  <si>
    <t>C52, C53, C54</t>
  </si>
  <si>
    <t>CAP CER 10000PF 25V X5R 0402</t>
  </si>
  <si>
    <t>CC0402KRX5R8BB103</t>
  </si>
  <si>
    <t>0.01uF</t>
  </si>
  <si>
    <t>C55, C56, C57</t>
  </si>
  <si>
    <t>CAP CER 2.2UF 25V X5R 0603</t>
  </si>
  <si>
    <t>CAP-0603</t>
  </si>
  <si>
    <t>CC0603KRX5R8BB225</t>
  </si>
  <si>
    <t>2.2uF</t>
  </si>
  <si>
    <t>C64</t>
  </si>
  <si>
    <t>CAP CER 1000PF 25V C0G/NPO 0603</t>
  </si>
  <si>
    <t>CC0603JRNPO8BN102</t>
  </si>
  <si>
    <t>1nF</t>
  </si>
  <si>
    <t>C65</t>
  </si>
  <si>
    <t>CAP CER, 4.7 µF, 25 V, 0603</t>
  </si>
  <si>
    <t>C1608X5R1E475KT000E</t>
  </si>
  <si>
    <t>C66</t>
  </si>
  <si>
    <t>CAP CER 47uF 25V 1210</t>
  </si>
  <si>
    <t>Cap-1210</t>
  </si>
  <si>
    <t>TMK325ABJ476MM-P</t>
  </si>
  <si>
    <t>Taiyo Yuden</t>
  </si>
  <si>
    <t>47uF</t>
  </si>
  <si>
    <t>C67</t>
  </si>
  <si>
    <t>CAP CER 2200PF 50V X7R 0603</t>
  </si>
  <si>
    <t>CC0603KRX7R9BB222</t>
  </si>
  <si>
    <t>2.2nF</t>
  </si>
  <si>
    <t>C68</t>
  </si>
  <si>
    <t>CAP CER 33PF 25V C0G/NP0 0402</t>
  </si>
  <si>
    <t>GRM1555C1E330JA01D</t>
  </si>
  <si>
    <t>33pF</t>
  </si>
  <si>
    <t>C69</t>
  </si>
  <si>
    <t>25V 22nF X7R 0603 Multilayer Ceramic Capacitors MLCC - SMD/SMT ROHS</t>
  </si>
  <si>
    <t>FN18X223K250PSG</t>
  </si>
  <si>
    <t>PSA</t>
  </si>
  <si>
    <t>22nF</t>
  </si>
  <si>
    <t>Diode</t>
  </si>
  <si>
    <t>ON Semiconductor / Fairchild</t>
  </si>
  <si>
    <t>D2, D5</t>
  </si>
  <si>
    <t>Schottky Barrier Diode SK36, DO-214AB, 3A/60V</t>
  </si>
  <si>
    <t>SMA</t>
  </si>
  <si>
    <t>SS36</t>
  </si>
  <si>
    <t>D3</t>
  </si>
  <si>
    <t>16A 20V 7V 5V@Max Unidirectional SOT-23 TVS ROHS</t>
  </si>
  <si>
    <t>Sot-23</t>
  </si>
  <si>
    <t>ESD5302F-3/TR</t>
  </si>
  <si>
    <t>WILLSEMI</t>
  </si>
  <si>
    <t>D4</t>
  </si>
  <si>
    <t>TVS DIODE 5VWM 6.3VC DSN0603-2</t>
  </si>
  <si>
    <t>DSN0603-2</t>
  </si>
  <si>
    <t>PESD5V0H1BSFYL</t>
  </si>
  <si>
    <t>Nexperia</t>
  </si>
  <si>
    <t>Fuse</t>
  </si>
  <si>
    <t>F1</t>
  </si>
  <si>
    <t>6V 500mA 40A 1A 0603 Resettable Fuses ROHS</t>
  </si>
  <si>
    <t>Fuse-0603</t>
  </si>
  <si>
    <t>SMD0603-050</t>
  </si>
  <si>
    <t>TECHFUSE</t>
  </si>
  <si>
    <t>Ferrite Bead</t>
  </si>
  <si>
    <t>FB1, FB2</t>
  </si>
  <si>
    <t>FERRITE BEAD 120 OHM 0402 1LN</t>
  </si>
  <si>
    <t>IND-0402</t>
  </si>
  <si>
    <t>BLM15PD121SN1D</t>
  </si>
  <si>
    <t>SMD Pad</t>
  </si>
  <si>
    <t>J1, J2, J3, J4, J5, J6</t>
  </si>
  <si>
    <t>SMD PADS (1x8) 2.54mm</t>
  </si>
  <si>
    <t>DNP</t>
  </si>
  <si>
    <t>DO NOT PLACE</t>
  </si>
  <si>
    <t>Through Hole Pads</t>
  </si>
  <si>
    <t>J7</t>
  </si>
  <si>
    <t>3.96mm Pitch Through Hole Pads 2</t>
  </si>
  <si>
    <t>Through Hole Pads 2</t>
  </si>
  <si>
    <t>USB B Connector</t>
  </si>
  <si>
    <t>J8</t>
  </si>
  <si>
    <t>CONN RCPT USB2.0 MICRO B SMD R/A</t>
  </si>
  <si>
    <t>Custom</t>
  </si>
  <si>
    <t>10118194-0001LF</t>
  </si>
  <si>
    <t>Amphenol FCI</t>
  </si>
  <si>
    <t>Battery Connector</t>
  </si>
  <si>
    <t>J9</t>
  </si>
  <si>
    <t>Battery button CR2032 SMD Battery Connectors ROHS</t>
  </si>
  <si>
    <t>MY-2032-10-R</t>
  </si>
  <si>
    <t>MYOUNG</t>
  </si>
  <si>
    <t>Male Header</t>
  </si>
  <si>
    <t>J10</t>
  </si>
  <si>
    <t>CONN HEADER VERT 2POS 2.54MM</t>
  </si>
  <si>
    <t>HDR1X2_</t>
  </si>
  <si>
    <t>TE Connectivity</t>
  </si>
  <si>
    <t>Inductor</t>
  </si>
  <si>
    <t>L1</t>
  </si>
  <si>
    <t>FIXED IND 4.7UH 1.6A 157MOHM SMD</t>
  </si>
  <si>
    <t>IND-1210</t>
  </si>
  <si>
    <t>DFE322512F-4R7M=P2</t>
  </si>
  <si>
    <t>4.7uH</t>
  </si>
  <si>
    <t>L2</t>
  </si>
  <si>
    <t>FIXED IND 3.9UH 2.5A 56MOHM SMD</t>
  </si>
  <si>
    <t>SWPA5020S3R9NT</t>
  </si>
  <si>
    <t>Sunlord</t>
  </si>
  <si>
    <t>3.9uH</t>
  </si>
  <si>
    <t>L3</t>
  </si>
  <si>
    <t>5.5A 2.2uH ±20% 7.5A SMD,5.2x5.4x3mm Power Inductors ROHS</t>
  </si>
  <si>
    <t>PSPMAA0503-2R2M-ANP</t>
  </si>
  <si>
    <t>PROD Tech</t>
  </si>
  <si>
    <t>2.2uH</t>
  </si>
  <si>
    <t>LED</t>
  </si>
  <si>
    <t>LED1</t>
  </si>
  <si>
    <t>RED LED 0603 Light Emitting Diodes</t>
  </si>
  <si>
    <t>LED-0603</t>
  </si>
  <si>
    <t>NCD0603R3</t>
  </si>
  <si>
    <t>Foshan NationStar Optoelectronics</t>
  </si>
  <si>
    <t>LED2</t>
  </si>
  <si>
    <t>Colorless transparence -30℃~+85℃ 601nm~603nm Positive post Orange 120° 55mW 0805 Light Emitting Diodes (LED) ROHS</t>
  </si>
  <si>
    <t>LED-0805</t>
  </si>
  <si>
    <t>XL-2012UOC</t>
  </si>
  <si>
    <t>XINGLIGHT</t>
  </si>
  <si>
    <t>Connector</t>
  </si>
  <si>
    <t>P1</t>
  </si>
  <si>
    <t>SMD PADS (1x10) 2.54mm</t>
  </si>
  <si>
    <t>Mosfet</t>
  </si>
  <si>
    <t>Q1</t>
  </si>
  <si>
    <t>30V 4.1A 60mΩ@10V,4.1A 350mW 3V@250uA P Channel SOT-23 MOSFETs ROHS</t>
  </si>
  <si>
    <t>SOT-23</t>
  </si>
  <si>
    <t>AO3407</t>
  </si>
  <si>
    <t>Guangdong Hottech</t>
  </si>
  <si>
    <t>Q2</t>
  </si>
  <si>
    <t>40V 100mW 100@10mA,1V 200mA 300MHz 300mV@50mA,5mA NPN -55℃~+150℃@(Tj) SOT-723 Bipolar Transistors - BJT ROHS</t>
  </si>
  <si>
    <t>SOT-723</t>
  </si>
  <si>
    <t>MMBT3904M</t>
  </si>
  <si>
    <t>TECH PUBLIC</t>
  </si>
  <si>
    <t>Resistor</t>
  </si>
  <si>
    <t>R1, R22</t>
  </si>
  <si>
    <t>RES 470 OHM 5% 1/20W 0201</t>
  </si>
  <si>
    <t>Res-0201</t>
  </si>
  <si>
    <t>RC0201JR-07470RL</t>
  </si>
  <si>
    <t>470R</t>
  </si>
  <si>
    <t>R2, R21</t>
  </si>
  <si>
    <t>RES SMD 100K OHM 0.1% 1/10W 0603</t>
  </si>
  <si>
    <t>Res-0603</t>
  </si>
  <si>
    <t>RT0603BRD07100KL</t>
  </si>
  <si>
    <t>100K</t>
  </si>
  <si>
    <t>R3, R4, R5, R6, R7</t>
  </si>
  <si>
    <t>RES SMD 2.87KOHM 0.1% 1/16W 0402</t>
  </si>
  <si>
    <t>Res-0402</t>
  </si>
  <si>
    <t>RT0402BRD072K87L</t>
  </si>
  <si>
    <t>2.87k</t>
  </si>
  <si>
    <t>R8, R18</t>
  </si>
  <si>
    <t>RES 10K OHM 1% 1/16W 0402</t>
  </si>
  <si>
    <t>RC0402FR-0710KL</t>
  </si>
  <si>
    <t>10K</t>
  </si>
  <si>
    <t>R9</t>
  </si>
  <si>
    <t>RES SMD 1K OHM 1% 1/10W 0603</t>
  </si>
  <si>
    <t>RC0603FR-071KL</t>
  </si>
  <si>
    <t>1K</t>
  </si>
  <si>
    <t>R10, R11, R12</t>
  </si>
  <si>
    <t>RES SMD 4.7K OHM 5% 1/10W 0603</t>
  </si>
  <si>
    <t>RC0603JR-074K7L</t>
  </si>
  <si>
    <t>4.7K</t>
  </si>
  <si>
    <t>R13, R14, R15</t>
  </si>
  <si>
    <t>250mW Thick Film Resistors ±800ppm/℃ ±1% 330mΩ 1206 Chip Resistor</t>
  </si>
  <si>
    <t>Res-1206</t>
  </si>
  <si>
    <t>1206W4F330LT5E</t>
  </si>
  <si>
    <t>Uniroyal</t>
  </si>
  <si>
    <t>330mR</t>
  </si>
  <si>
    <t>R16</t>
  </si>
  <si>
    <t>RES 3.9K OHM 1% 1/10W 0603</t>
  </si>
  <si>
    <t>RC0603FR-073K9L</t>
  </si>
  <si>
    <t>3.9K</t>
  </si>
  <si>
    <t>R17</t>
  </si>
  <si>
    <t>RES SMD 56K OHM 1% 1/10W 0603</t>
  </si>
  <si>
    <t>AC0603FR-0756KL</t>
  </si>
  <si>
    <t>56K</t>
  </si>
  <si>
    <t>R19</t>
  </si>
  <si>
    <t>RES SMD 649K OHM 0.1% 1/10W 0603</t>
  </si>
  <si>
    <t>RT0603BRD07649KL</t>
  </si>
  <si>
    <t>649k</t>
  </si>
  <si>
    <t>Switch</t>
  </si>
  <si>
    <t>SW1, SW2</t>
  </si>
  <si>
    <t>SWITCH TACTILE SPST-NO 0.05A 12V</t>
  </si>
  <si>
    <t>B3U-1000P</t>
  </si>
  <si>
    <t>Omron</t>
  </si>
  <si>
    <t>IC</t>
  </si>
  <si>
    <t>U1</t>
  </si>
  <si>
    <t>IC MCU 32BIT EXT MEM 196LFBGA</t>
  </si>
  <si>
    <t>196-LFBGA (12x12)</t>
  </si>
  <si>
    <t>MIMXRT1062DVJ6B</t>
  </si>
  <si>
    <t>NXP Semiconductors</t>
  </si>
  <si>
    <t>U2</t>
  </si>
  <si>
    <t>IC FLASH 64MBIT SPI/QUAD 8SOIC</t>
  </si>
  <si>
    <t>SOIC-8 (208 mil)</t>
  </si>
  <si>
    <t>W25Q64JVSSIM</t>
  </si>
  <si>
    <t>Winbond</t>
  </si>
  <si>
    <t>U3</t>
  </si>
  <si>
    <t>IC MCU 32BIT 32KB FLASH 16QFN</t>
  </si>
  <si>
    <t>16-QFN (3x3).</t>
  </si>
  <si>
    <t>MKL02Z32VFG4</t>
  </si>
  <si>
    <t>NXP USA</t>
  </si>
  <si>
    <t>U4</t>
  </si>
  <si>
    <t>IC EEPROM 64KBIT I2C 8UFDFPN</t>
  </si>
  <si>
    <t>DFN-8-EP(2x3)</t>
  </si>
  <si>
    <t>M24C64-FMC6TG</t>
  </si>
  <si>
    <t>STMicroelectronics</t>
  </si>
  <si>
    <t>U5, U6, U7</t>
  </si>
  <si>
    <t>IC MOTOR DRIVER PAR 16HTSSOP</t>
  </si>
  <si>
    <t>HTSSOP-16</t>
  </si>
  <si>
    <t>DRV8833PWPR</t>
  </si>
  <si>
    <t>Texas Instruments</t>
  </si>
  <si>
    <t>U8</t>
  </si>
  <si>
    <t>IC REG BUCK 3.3V 2A TSOT26</t>
  </si>
  <si>
    <t>TSOT-23-6</t>
  </si>
  <si>
    <t>AP63203WU-7</t>
  </si>
  <si>
    <t>Diodes</t>
  </si>
  <si>
    <t>U9</t>
  </si>
  <si>
    <t>IC SUPERVISOR 1 CHANNEL 5VSOF</t>
  </si>
  <si>
    <t>VSOF 5</t>
  </si>
  <si>
    <t>BD4860FVE-TR</t>
  </si>
  <si>
    <t>Rohm</t>
  </si>
  <si>
    <t>U11</t>
  </si>
  <si>
    <t>IC REG BUCK ADJUSTABLE 6A 14VQFN</t>
  </si>
  <si>
    <t>14-VQFN (3.5x3.5)_</t>
  </si>
  <si>
    <t>TPS54620RHLR</t>
  </si>
  <si>
    <t>Crystal</t>
  </si>
  <si>
    <t>X1</t>
  </si>
  <si>
    <t>24MHz SMD Crystal Resonator 12pF ±10ppm ±30ppm -40℃~+85℃ SMD3225-4P Crystals ROHS</t>
  </si>
  <si>
    <t>X322524MOB4SI</t>
  </si>
  <si>
    <t>Yangxing Tech</t>
  </si>
  <si>
    <t>24MHZ</t>
  </si>
  <si>
    <t>X2</t>
  </si>
  <si>
    <t>CRYSTAL 32.7680KHZ 12.5PF SMD</t>
  </si>
  <si>
    <t>NX3215SA-32.768K-STD-MUA-8</t>
  </si>
  <si>
    <t>NDK</t>
  </si>
  <si>
    <t>32.7680KHZ</t>
  </si>
  <si>
    <t>Peripheral</t>
  </si>
  <si>
    <t>Force Sensitive Resistor - Small</t>
  </si>
  <si>
    <t>Force Sensor</t>
  </si>
  <si>
    <t>Motor</t>
  </si>
  <si>
    <t>1218R+Gearbox+Encoder</t>
  </si>
  <si>
    <t>D1, D7</t>
  </si>
  <si>
    <t>60V 700mV@1A 1A SMA(DO-214AC) Schottky Barrier Diodes (SBD) ROHS</t>
  </si>
  <si>
    <t>SS16</t>
  </si>
  <si>
    <t>MDD</t>
  </si>
  <si>
    <t>D6</t>
  </si>
  <si>
    <t>Single 3.01V~3.22V 500mW 3.1V SOD-123 Zener Diodes ROHS</t>
  </si>
  <si>
    <t>SOD-123</t>
  </si>
  <si>
    <t>LBZT52B3V0T1G</t>
  </si>
  <si>
    <t>LRC</t>
  </si>
  <si>
    <t>R20</t>
  </si>
  <si>
    <t>RES SMD 100 OHM 1% 1/10W 0603</t>
  </si>
  <si>
    <t>RC0603FR-07100RL</t>
  </si>
  <si>
    <t>100R</t>
  </si>
  <si>
    <t xml:space="preserve"> ML2032</t>
  </si>
  <si>
    <t xml:space="preserve">3V Li-ion Rechargeable Battery </t>
  </si>
  <si>
    <t>Aliexpress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</si>
</sst>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0"/>
      <color theme="0"/>
      <name val="Calibri"/>
      <charset val="134"/>
      <scheme val="minor"/>
    </font>
    <font>
      <sz val="10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trike/>
      <sz val="9"/>
      <color rgb="FFFF0000"/>
      <name val="Calibri"/>
      <charset val="134"/>
      <scheme val="minor"/>
    </font>
    <font>
      <u/>
      <sz val="11"/>
      <color rgb="FF0000FF"/>
      <name val="Calibri"/>
      <scheme val="minor"/>
    </font>
    <font>
      <b/>
      <strike/>
      <sz val="10"/>
      <color rgb="FFFF0000"/>
      <name val="Calibri"/>
      <charset val="134"/>
      <scheme val="minor"/>
    </font>
    <font>
      <sz val="10"/>
      <name val="Calibri"/>
      <charset val="134"/>
      <scheme val="minor"/>
    </font>
    <font>
      <b/>
      <sz val="14"/>
      <name val="Calibri"/>
      <charset val="134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center"/>
    </xf>
  </cellStyleXfs>
  <cellXfs count="36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4" fillId="4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wrapText="1"/>
    </xf>
    <xf numFmtId="0" fontId="2" fillId="4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8" fillId="2" borderId="5" xfId="1" applyFill="1" applyBorder="1" applyAlignment="1">
      <alignment horizontal="center" vertical="center" wrapText="1"/>
    </xf>
    <xf numFmtId="0" fontId="8" fillId="2" borderId="6" xfId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vertical="center"/>
      <protection locked="0"/>
    </xf>
    <xf numFmtId="0" fontId="10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3" fillId="3" borderId="7" xfId="0" applyFont="1" applyFill="1" applyBorder="1" applyAlignment="1" applyProtection="1">
      <alignment horizontal="center" vertical="top"/>
      <protection locked="0"/>
    </xf>
    <xf numFmtId="0" fontId="3" fillId="3" borderId="8" xfId="0" applyFont="1" applyFill="1" applyBorder="1" applyAlignment="1" applyProtection="1">
      <alignment horizontal="center" vertical="top"/>
      <protection locked="0"/>
    </xf>
    <xf numFmtId="0" fontId="2" fillId="3" borderId="8" xfId="0" applyFont="1" applyFill="1" applyBorder="1" applyAlignment="1" applyProtection="1">
      <alignment horizontal="left" vertical="top"/>
      <protection locked="0"/>
    </xf>
    <xf numFmtId="0" fontId="10" fillId="3" borderId="8" xfId="0" applyFont="1" applyFill="1" applyBorder="1" applyAlignment="1" applyProtection="1">
      <alignment horizontal="left" vertical="top"/>
      <protection locked="0"/>
    </xf>
    <xf numFmtId="0" fontId="0" fillId="0" borderId="0" xfId="0" applyAlignment="1">
      <alignment horizontal="center"/>
    </xf>
    <xf numFmtId="0" fontId="11" fillId="3" borderId="2" xfId="0" applyFont="1" applyFill="1" applyBorder="1" applyAlignment="1" applyProtection="1">
      <alignment horizontal="center" vertical="top"/>
      <protection locked="0"/>
    </xf>
    <xf numFmtId="0" fontId="12" fillId="2" borderId="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liexpress.us/item/1005005939802432.html?gatewayAdapt=4itemAdapt" TargetMode="External"/><Relationship Id="rId1" Type="http://schemas.openxmlformats.org/officeDocument/2006/relationships/hyperlink" Target="https://www.sparkfun.com/products/96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66"/>
  <sheetViews>
    <sheetView tabSelected="1" workbookViewId="0">
      <selection activeCell="O8" sqref="O8"/>
    </sheetView>
  </sheetViews>
  <sheetFormatPr defaultColWidth="9" defaultRowHeight="15"/>
  <cols>
    <col min="2" max="2" width="3.140625" style="28" customWidth="1"/>
    <col min="3" max="3" width="18" style="28" customWidth="1"/>
    <col min="4" max="4" width="27.42578125" customWidth="1"/>
    <col min="5" max="5" width="30.85546875" customWidth="1"/>
    <col min="6" max="6" width="22.28515625" customWidth="1"/>
    <col min="7" max="7" width="26.42578125" customWidth="1"/>
    <col min="8" max="8" width="21.42578125" customWidth="1"/>
    <col min="9" max="9" width="8.28515625" customWidth="1"/>
    <col min="10" max="10" width="9" customWidth="1"/>
    <col min="11" max="11" width="10.42578125" customWidth="1"/>
    <col min="12" max="12" width="8.85546875" customWidth="1"/>
    <col min="14" max="14" width="16" customWidth="1"/>
    <col min="15" max="15" width="25.28515625" bestFit="1" customWidth="1"/>
  </cols>
  <sheetData>
    <row r="1" spans="1:15" ht="15.75" thickBot="1">
      <c r="A1" s="2"/>
      <c r="B1" s="3"/>
      <c r="C1" s="3"/>
      <c r="D1" s="4"/>
      <c r="E1" s="4"/>
      <c r="F1" s="4"/>
      <c r="G1" s="4"/>
      <c r="H1" s="4"/>
      <c r="I1" s="33"/>
      <c r="J1" s="33"/>
      <c r="K1" s="33"/>
      <c r="L1" s="33"/>
    </row>
    <row r="2" spans="1:15" ht="15.75" thickBot="1">
      <c r="A2" s="2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</row>
    <row r="3" spans="1:15">
      <c r="A3" s="2"/>
      <c r="B3" s="7">
        <f t="shared" ref="B3:B64" si="0">ROW(B3)-ROW($B$2)</f>
        <v>1</v>
      </c>
      <c r="C3" s="8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9" t="s">
        <v>18</v>
      </c>
      <c r="J3" s="9">
        <v>4</v>
      </c>
      <c r="K3" s="15"/>
      <c r="L3" s="9"/>
    </row>
    <row r="4" spans="1:15" s="1" customFormat="1" ht="36">
      <c r="A4" s="6"/>
      <c r="B4" s="10">
        <f t="shared" si="0"/>
        <v>2</v>
      </c>
      <c r="C4" s="8" t="s">
        <v>11</v>
      </c>
      <c r="D4" s="11" t="s">
        <v>20</v>
      </c>
      <c r="E4" s="11" t="s">
        <v>21</v>
      </c>
      <c r="F4" s="11" t="s">
        <v>14</v>
      </c>
      <c r="G4" s="11" t="s">
        <v>22</v>
      </c>
      <c r="H4" s="11" t="s">
        <v>16</v>
      </c>
      <c r="I4" s="11" t="s">
        <v>23</v>
      </c>
      <c r="J4" s="11">
        <v>19</v>
      </c>
      <c r="K4" s="16"/>
      <c r="L4" s="11"/>
      <c r="N4"/>
      <c r="O4"/>
    </row>
    <row r="5" spans="1:15" ht="24">
      <c r="A5" s="2"/>
      <c r="B5" s="7">
        <f t="shared" si="0"/>
        <v>3</v>
      </c>
      <c r="C5" s="8" t="s">
        <v>11</v>
      </c>
      <c r="D5" s="9" t="s">
        <v>24</v>
      </c>
      <c r="E5" s="9" t="s">
        <v>25</v>
      </c>
      <c r="F5" s="9" t="s">
        <v>14</v>
      </c>
      <c r="G5" s="9" t="s">
        <v>26</v>
      </c>
      <c r="H5" s="9" t="s">
        <v>16</v>
      </c>
      <c r="I5" s="9" t="s">
        <v>27</v>
      </c>
      <c r="J5" s="9">
        <v>9</v>
      </c>
      <c r="K5" s="15"/>
      <c r="L5" s="9"/>
    </row>
    <row r="6" spans="1:15" ht="24">
      <c r="A6" s="2"/>
      <c r="B6" s="10">
        <f t="shared" si="0"/>
        <v>4</v>
      </c>
      <c r="C6" s="12" t="s">
        <v>11</v>
      </c>
      <c r="D6" s="11" t="s">
        <v>28</v>
      </c>
      <c r="E6" s="11" t="s">
        <v>29</v>
      </c>
      <c r="F6" s="11" t="s">
        <v>14</v>
      </c>
      <c r="G6" s="11" t="s">
        <v>30</v>
      </c>
      <c r="H6" s="11" t="s">
        <v>16</v>
      </c>
      <c r="I6" s="11" t="s">
        <v>31</v>
      </c>
      <c r="J6" s="11">
        <v>10</v>
      </c>
      <c r="K6" s="16"/>
      <c r="L6" s="11"/>
    </row>
    <row r="7" spans="1:15">
      <c r="A7" s="2"/>
      <c r="B7" s="7">
        <f t="shared" si="0"/>
        <v>5</v>
      </c>
      <c r="C7" s="8" t="s">
        <v>11</v>
      </c>
      <c r="D7" s="9" t="s">
        <v>32</v>
      </c>
      <c r="E7" s="9" t="s">
        <v>33</v>
      </c>
      <c r="F7" s="9" t="s">
        <v>34</v>
      </c>
      <c r="G7" s="9" t="s">
        <v>35</v>
      </c>
      <c r="H7" s="9" t="s">
        <v>16</v>
      </c>
      <c r="I7" s="9" t="s">
        <v>36</v>
      </c>
      <c r="J7" s="9">
        <v>4</v>
      </c>
      <c r="K7" s="15"/>
      <c r="L7" s="9"/>
    </row>
    <row r="8" spans="1:15">
      <c r="A8" s="2"/>
      <c r="B8" s="10">
        <f t="shared" si="0"/>
        <v>6</v>
      </c>
      <c r="C8" s="8" t="s">
        <v>11</v>
      </c>
      <c r="D8" s="11" t="s">
        <v>37</v>
      </c>
      <c r="E8" s="11" t="s">
        <v>38</v>
      </c>
      <c r="F8" s="11" t="s">
        <v>14</v>
      </c>
      <c r="G8" s="11" t="s">
        <v>39</v>
      </c>
      <c r="H8" s="11" t="s">
        <v>40</v>
      </c>
      <c r="I8" s="11" t="s">
        <v>41</v>
      </c>
      <c r="J8" s="11">
        <v>4</v>
      </c>
      <c r="K8" s="16"/>
      <c r="L8" s="11"/>
    </row>
    <row r="9" spans="1:15">
      <c r="A9" s="2"/>
      <c r="B9" s="7">
        <f t="shared" si="0"/>
        <v>7</v>
      </c>
      <c r="C9" s="8" t="s">
        <v>11</v>
      </c>
      <c r="D9" s="9" t="s">
        <v>42</v>
      </c>
      <c r="E9" s="9" t="s">
        <v>43</v>
      </c>
      <c r="F9" s="9" t="s">
        <v>44</v>
      </c>
      <c r="G9" s="9" t="s">
        <v>45</v>
      </c>
      <c r="H9" s="9" t="s">
        <v>46</v>
      </c>
      <c r="I9" s="9" t="s">
        <v>47</v>
      </c>
      <c r="J9" s="9">
        <v>1</v>
      </c>
      <c r="K9" s="15"/>
      <c r="L9" s="9"/>
    </row>
    <row r="10" spans="1:15">
      <c r="A10" s="2"/>
      <c r="B10" s="10">
        <f t="shared" si="0"/>
        <v>8</v>
      </c>
      <c r="C10" s="8" t="s">
        <v>11</v>
      </c>
      <c r="D10" s="11" t="s">
        <v>48</v>
      </c>
      <c r="E10" s="11" t="s">
        <v>49</v>
      </c>
      <c r="F10" s="11" t="s">
        <v>34</v>
      </c>
      <c r="G10" s="11" t="s">
        <v>50</v>
      </c>
      <c r="H10" s="11" t="s">
        <v>51</v>
      </c>
      <c r="I10" s="11" t="s">
        <v>52</v>
      </c>
      <c r="J10" s="11">
        <v>3</v>
      </c>
      <c r="K10" s="16"/>
      <c r="L10" s="11"/>
    </row>
    <row r="11" spans="1:15">
      <c r="A11" s="2"/>
      <c r="B11" s="7">
        <f t="shared" si="0"/>
        <v>9</v>
      </c>
      <c r="C11" s="8" t="s">
        <v>11</v>
      </c>
      <c r="D11" s="9" t="s">
        <v>53</v>
      </c>
      <c r="E11" s="9" t="s">
        <v>54</v>
      </c>
      <c r="F11" s="9" t="s">
        <v>55</v>
      </c>
      <c r="G11" s="9" t="s">
        <v>56</v>
      </c>
      <c r="H11" s="9" t="s">
        <v>57</v>
      </c>
      <c r="I11" s="9" t="s">
        <v>52</v>
      </c>
      <c r="J11" s="9">
        <v>3</v>
      </c>
      <c r="K11" s="15"/>
      <c r="L11" s="9"/>
    </row>
    <row r="12" spans="1:15">
      <c r="A12" s="2"/>
      <c r="B12" s="10">
        <f t="shared" si="0"/>
        <v>10</v>
      </c>
      <c r="C12" s="8" t="s">
        <v>11</v>
      </c>
      <c r="D12" s="11" t="s">
        <v>58</v>
      </c>
      <c r="E12" s="11" t="s">
        <v>59</v>
      </c>
      <c r="F12" s="11" t="s">
        <v>14</v>
      </c>
      <c r="G12" s="11" t="s">
        <v>60</v>
      </c>
      <c r="H12" s="11" t="s">
        <v>16</v>
      </c>
      <c r="I12" s="11" t="s">
        <v>61</v>
      </c>
      <c r="J12" s="11">
        <v>3</v>
      </c>
      <c r="K12" s="16"/>
      <c r="L12" s="11"/>
    </row>
    <row r="13" spans="1:15">
      <c r="A13" s="2"/>
      <c r="B13" s="7">
        <f t="shared" si="0"/>
        <v>11</v>
      </c>
      <c r="C13" s="8" t="s">
        <v>11</v>
      </c>
      <c r="D13" s="9" t="s">
        <v>62</v>
      </c>
      <c r="E13" s="9" t="s">
        <v>63</v>
      </c>
      <c r="F13" s="9" t="s">
        <v>64</v>
      </c>
      <c r="G13" s="9" t="s">
        <v>65</v>
      </c>
      <c r="H13" s="9" t="s">
        <v>16</v>
      </c>
      <c r="I13" s="9" t="s">
        <v>66</v>
      </c>
      <c r="J13" s="9">
        <v>3</v>
      </c>
      <c r="K13" s="15"/>
      <c r="L13" s="9"/>
    </row>
    <row r="14" spans="1:15">
      <c r="A14" s="2"/>
      <c r="B14" s="10">
        <f t="shared" si="0"/>
        <v>12</v>
      </c>
      <c r="C14" s="8" t="s">
        <v>11</v>
      </c>
      <c r="D14" s="11" t="s">
        <v>67</v>
      </c>
      <c r="E14" s="11" t="s">
        <v>68</v>
      </c>
      <c r="F14" s="11" t="s">
        <v>64</v>
      </c>
      <c r="G14" s="11" t="s">
        <v>69</v>
      </c>
      <c r="H14" s="11" t="s">
        <v>16</v>
      </c>
      <c r="I14" s="11" t="s">
        <v>70</v>
      </c>
      <c r="J14" s="11">
        <v>1</v>
      </c>
      <c r="K14" s="16"/>
      <c r="L14" s="11"/>
    </row>
    <row r="15" spans="1:15">
      <c r="A15" s="2"/>
      <c r="B15" s="7">
        <f t="shared" si="0"/>
        <v>13</v>
      </c>
      <c r="C15" s="8" t="s">
        <v>11</v>
      </c>
      <c r="D15" s="9" t="s">
        <v>71</v>
      </c>
      <c r="E15" s="9" t="s">
        <v>72</v>
      </c>
      <c r="F15" s="9" t="s">
        <v>34</v>
      </c>
      <c r="G15" s="9" t="s">
        <v>73</v>
      </c>
      <c r="H15" s="9" t="s">
        <v>46</v>
      </c>
      <c r="I15" s="9" t="s">
        <v>27</v>
      </c>
      <c r="J15" s="9">
        <v>1</v>
      </c>
      <c r="K15" s="15"/>
      <c r="L15" s="9"/>
    </row>
    <row r="16" spans="1:15">
      <c r="A16" s="2"/>
      <c r="B16" s="10">
        <f t="shared" si="0"/>
        <v>14</v>
      </c>
      <c r="C16" s="8" t="s">
        <v>11</v>
      </c>
      <c r="D16" s="11" t="s">
        <v>74</v>
      </c>
      <c r="E16" s="11" t="s">
        <v>75</v>
      </c>
      <c r="F16" s="11" t="s">
        <v>76</v>
      </c>
      <c r="G16" s="11" t="s">
        <v>77</v>
      </c>
      <c r="H16" s="11" t="s">
        <v>78</v>
      </c>
      <c r="I16" s="11" t="s">
        <v>79</v>
      </c>
      <c r="J16" s="11">
        <v>1</v>
      </c>
      <c r="K16" s="16"/>
      <c r="L16" s="11"/>
    </row>
    <row r="17" spans="1:12">
      <c r="A17" s="2"/>
      <c r="B17" s="7">
        <f t="shared" si="0"/>
        <v>15</v>
      </c>
      <c r="C17" s="8" t="s">
        <v>11</v>
      </c>
      <c r="D17" s="9" t="s">
        <v>80</v>
      </c>
      <c r="E17" s="9" t="s">
        <v>81</v>
      </c>
      <c r="F17" s="9" t="s">
        <v>34</v>
      </c>
      <c r="G17" s="9" t="s">
        <v>82</v>
      </c>
      <c r="H17" s="9" t="s">
        <v>16</v>
      </c>
      <c r="I17" s="9" t="s">
        <v>83</v>
      </c>
      <c r="J17" s="9">
        <v>1</v>
      </c>
      <c r="K17" s="15"/>
      <c r="L17" s="9"/>
    </row>
    <row r="18" spans="1:12">
      <c r="A18" s="2"/>
      <c r="B18" s="10">
        <f t="shared" si="0"/>
        <v>16</v>
      </c>
      <c r="C18" s="12" t="s">
        <v>11</v>
      </c>
      <c r="D18" s="11" t="s">
        <v>84</v>
      </c>
      <c r="E18" s="11" t="s">
        <v>85</v>
      </c>
      <c r="F18" s="11" t="s">
        <v>14</v>
      </c>
      <c r="G18" s="11" t="s">
        <v>86</v>
      </c>
      <c r="H18" s="11" t="s">
        <v>40</v>
      </c>
      <c r="I18" s="11" t="s">
        <v>87</v>
      </c>
      <c r="J18" s="11">
        <v>1</v>
      </c>
      <c r="K18" s="16"/>
      <c r="L18" s="11"/>
    </row>
    <row r="19" spans="1:12" ht="24">
      <c r="A19" s="2"/>
      <c r="B19" s="7">
        <f t="shared" si="0"/>
        <v>17</v>
      </c>
      <c r="C19" s="8" t="s">
        <v>11</v>
      </c>
      <c r="D19" s="9" t="s">
        <v>88</v>
      </c>
      <c r="E19" s="9" t="s">
        <v>89</v>
      </c>
      <c r="F19" s="9" t="s">
        <v>34</v>
      </c>
      <c r="G19" s="9" t="s">
        <v>90</v>
      </c>
      <c r="H19" s="9" t="s">
        <v>91</v>
      </c>
      <c r="I19" s="9" t="s">
        <v>92</v>
      </c>
      <c r="J19" s="9">
        <v>1</v>
      </c>
      <c r="K19" s="15"/>
      <c r="L19" s="9"/>
    </row>
    <row r="20" spans="1:12" ht="24">
      <c r="A20" s="2"/>
      <c r="B20" s="10">
        <f t="shared" si="0"/>
        <v>18</v>
      </c>
      <c r="C20" s="12" t="s">
        <v>93</v>
      </c>
      <c r="D20" s="30" t="s">
        <v>293</v>
      </c>
      <c r="E20" s="30" t="s">
        <v>294</v>
      </c>
      <c r="F20" s="30" t="s">
        <v>97</v>
      </c>
      <c r="G20" s="30" t="s">
        <v>295</v>
      </c>
      <c r="H20" s="30" t="s">
        <v>296</v>
      </c>
      <c r="I20" s="11" t="s">
        <v>17</v>
      </c>
      <c r="J20" s="11">
        <v>2</v>
      </c>
      <c r="K20" s="16"/>
      <c r="L20" s="11"/>
    </row>
    <row r="21" spans="1:12" ht="24">
      <c r="A21" s="2"/>
      <c r="B21" s="7">
        <f t="shared" si="0"/>
        <v>19</v>
      </c>
      <c r="C21" s="8" t="s">
        <v>93</v>
      </c>
      <c r="D21" s="9" t="s">
        <v>95</v>
      </c>
      <c r="E21" s="9" t="s">
        <v>96</v>
      </c>
      <c r="F21" s="9" t="s">
        <v>97</v>
      </c>
      <c r="G21" s="9" t="s">
        <v>98</v>
      </c>
      <c r="H21" s="9" t="s">
        <v>94</v>
      </c>
      <c r="I21" s="9" t="s">
        <v>17</v>
      </c>
      <c r="J21" s="9">
        <v>2</v>
      </c>
      <c r="K21" s="15"/>
      <c r="L21" s="9"/>
    </row>
    <row r="22" spans="1:12" ht="24">
      <c r="A22" s="2"/>
      <c r="B22" s="10">
        <f t="shared" si="0"/>
        <v>20</v>
      </c>
      <c r="C22" s="12" t="s">
        <v>93</v>
      </c>
      <c r="D22" s="11" t="s">
        <v>99</v>
      </c>
      <c r="E22" s="11" t="s">
        <v>100</v>
      </c>
      <c r="F22" s="11" t="s">
        <v>101</v>
      </c>
      <c r="G22" s="11" t="s">
        <v>102</v>
      </c>
      <c r="H22" s="11" t="s">
        <v>103</v>
      </c>
      <c r="I22" s="9" t="s">
        <v>17</v>
      </c>
      <c r="J22" s="11">
        <v>1</v>
      </c>
      <c r="K22" s="16"/>
      <c r="L22" s="11"/>
    </row>
    <row r="23" spans="1:12">
      <c r="A23" s="2"/>
      <c r="B23" s="7">
        <f t="shared" si="0"/>
        <v>21</v>
      </c>
      <c r="C23" s="8" t="s">
        <v>93</v>
      </c>
      <c r="D23" s="9" t="s">
        <v>104</v>
      </c>
      <c r="E23" s="9" t="s">
        <v>105</v>
      </c>
      <c r="F23" s="9" t="s">
        <v>106</v>
      </c>
      <c r="G23" s="9" t="s">
        <v>107</v>
      </c>
      <c r="H23" s="9" t="s">
        <v>108</v>
      </c>
      <c r="I23" s="9" t="s">
        <v>17</v>
      </c>
      <c r="J23" s="9">
        <v>1</v>
      </c>
      <c r="K23" s="15"/>
      <c r="L23" s="9"/>
    </row>
    <row r="24" spans="1:12" ht="24">
      <c r="A24" s="2"/>
      <c r="B24" s="7">
        <f t="shared" si="0"/>
        <v>22</v>
      </c>
      <c r="C24" s="31" t="s">
        <v>93</v>
      </c>
      <c r="D24" s="30" t="s">
        <v>297</v>
      </c>
      <c r="E24" s="30" t="s">
        <v>298</v>
      </c>
      <c r="F24" s="30" t="s">
        <v>299</v>
      </c>
      <c r="G24" s="30" t="s">
        <v>300</v>
      </c>
      <c r="H24" s="30" t="s">
        <v>301</v>
      </c>
      <c r="I24" s="30" t="s">
        <v>17</v>
      </c>
      <c r="J24" s="30">
        <v>1</v>
      </c>
      <c r="K24" s="15"/>
      <c r="L24" s="9"/>
    </row>
    <row r="25" spans="1:12" ht="24">
      <c r="A25" s="2"/>
      <c r="B25" s="10">
        <f t="shared" si="0"/>
        <v>23</v>
      </c>
      <c r="C25" s="12" t="s">
        <v>109</v>
      </c>
      <c r="D25" s="11" t="s">
        <v>110</v>
      </c>
      <c r="E25" s="11" t="s">
        <v>111</v>
      </c>
      <c r="F25" s="11" t="s">
        <v>112</v>
      </c>
      <c r="G25" s="11" t="s">
        <v>113</v>
      </c>
      <c r="H25" s="11" t="s">
        <v>114</v>
      </c>
      <c r="I25" s="9" t="s">
        <v>17</v>
      </c>
      <c r="J25" s="11">
        <v>1</v>
      </c>
      <c r="K25" s="16"/>
      <c r="L25" s="11"/>
    </row>
    <row r="26" spans="1:12">
      <c r="A26" s="2"/>
      <c r="B26" s="7">
        <f t="shared" si="0"/>
        <v>24</v>
      </c>
      <c r="C26" s="8" t="s">
        <v>115</v>
      </c>
      <c r="D26" s="9" t="s">
        <v>116</v>
      </c>
      <c r="E26" s="9" t="s">
        <v>117</v>
      </c>
      <c r="F26" s="9" t="s">
        <v>118</v>
      </c>
      <c r="G26" s="9" t="s">
        <v>119</v>
      </c>
      <c r="H26" s="9" t="s">
        <v>40</v>
      </c>
      <c r="I26" s="9" t="s">
        <v>17</v>
      </c>
      <c r="J26" s="9">
        <v>2</v>
      </c>
      <c r="K26" s="15"/>
      <c r="L26" s="9"/>
    </row>
    <row r="27" spans="1:12" ht="25.5">
      <c r="A27" s="2"/>
      <c r="B27" s="10">
        <f t="shared" si="0"/>
        <v>25</v>
      </c>
      <c r="C27" s="12" t="s">
        <v>120</v>
      </c>
      <c r="D27" s="13" t="s">
        <v>121</v>
      </c>
      <c r="E27" s="13" t="s">
        <v>17</v>
      </c>
      <c r="F27" s="13" t="s">
        <v>122</v>
      </c>
      <c r="G27" s="13" t="s">
        <v>17</v>
      </c>
      <c r="H27" s="13" t="s">
        <v>17</v>
      </c>
      <c r="I27" s="14" t="s">
        <v>123</v>
      </c>
      <c r="J27" s="13">
        <v>6</v>
      </c>
      <c r="K27" s="13"/>
      <c r="L27" s="17" t="s">
        <v>124</v>
      </c>
    </row>
    <row r="28" spans="1:12" ht="25.5">
      <c r="A28" s="2"/>
      <c r="B28" s="7">
        <f t="shared" si="0"/>
        <v>26</v>
      </c>
      <c r="C28" s="8" t="s">
        <v>125</v>
      </c>
      <c r="D28" s="14" t="s">
        <v>126</v>
      </c>
      <c r="E28" s="14" t="s">
        <v>127</v>
      </c>
      <c r="F28" s="14" t="s">
        <v>128</v>
      </c>
      <c r="G28" s="14" t="s">
        <v>17</v>
      </c>
      <c r="H28" s="14" t="s">
        <v>128</v>
      </c>
      <c r="I28" s="14" t="s">
        <v>123</v>
      </c>
      <c r="J28" s="14">
        <v>1</v>
      </c>
      <c r="K28" s="13"/>
      <c r="L28" s="17" t="s">
        <v>124</v>
      </c>
    </row>
    <row r="29" spans="1:12">
      <c r="A29" s="2"/>
      <c r="B29" s="10">
        <f t="shared" si="0"/>
        <v>27</v>
      </c>
      <c r="C29" s="12" t="s">
        <v>129</v>
      </c>
      <c r="D29" s="11" t="s">
        <v>130</v>
      </c>
      <c r="E29" s="11" t="s">
        <v>131</v>
      </c>
      <c r="F29" s="11" t="s">
        <v>132</v>
      </c>
      <c r="G29" s="11" t="s">
        <v>133</v>
      </c>
      <c r="H29" s="11" t="s">
        <v>134</v>
      </c>
      <c r="I29" s="11" t="s">
        <v>17</v>
      </c>
      <c r="J29" s="11">
        <v>1</v>
      </c>
      <c r="K29" s="16"/>
      <c r="L29" s="11"/>
    </row>
    <row r="30" spans="1:12" ht="24">
      <c r="A30" s="2"/>
      <c r="B30" s="7">
        <f t="shared" si="0"/>
        <v>28</v>
      </c>
      <c r="C30" s="8" t="s">
        <v>135</v>
      </c>
      <c r="D30" s="9" t="s">
        <v>136</v>
      </c>
      <c r="E30" s="9" t="s">
        <v>137</v>
      </c>
      <c r="F30" s="11" t="s">
        <v>132</v>
      </c>
      <c r="G30" s="9" t="s">
        <v>138</v>
      </c>
      <c r="H30" s="9" t="s">
        <v>139</v>
      </c>
      <c r="I30" s="11" t="s">
        <v>17</v>
      </c>
      <c r="J30" s="9">
        <v>1</v>
      </c>
      <c r="K30" s="15"/>
      <c r="L30" s="9"/>
    </row>
    <row r="31" spans="1:12">
      <c r="A31" s="2"/>
      <c r="B31" s="10">
        <f t="shared" si="0"/>
        <v>29</v>
      </c>
      <c r="C31" s="12" t="s">
        <v>140</v>
      </c>
      <c r="D31" s="11" t="s">
        <v>141</v>
      </c>
      <c r="E31" s="11" t="s">
        <v>142</v>
      </c>
      <c r="F31" s="11" t="s">
        <v>143</v>
      </c>
      <c r="G31" s="11">
        <v>8266292</v>
      </c>
      <c r="H31" s="11" t="s">
        <v>144</v>
      </c>
      <c r="I31" s="11" t="s">
        <v>17</v>
      </c>
      <c r="J31" s="11">
        <v>1</v>
      </c>
      <c r="K31" s="16"/>
      <c r="L31" s="11"/>
    </row>
    <row r="32" spans="1:12">
      <c r="A32" s="2"/>
      <c r="B32" s="7">
        <f t="shared" si="0"/>
        <v>30</v>
      </c>
      <c r="C32" s="8" t="s">
        <v>145</v>
      </c>
      <c r="D32" s="9" t="s">
        <v>146</v>
      </c>
      <c r="E32" s="9" t="s">
        <v>147</v>
      </c>
      <c r="F32" s="9" t="s">
        <v>148</v>
      </c>
      <c r="G32" s="9" t="s">
        <v>149</v>
      </c>
      <c r="H32" s="9" t="s">
        <v>40</v>
      </c>
      <c r="I32" s="9" t="s">
        <v>150</v>
      </c>
      <c r="J32" s="9">
        <v>1</v>
      </c>
      <c r="K32" s="15"/>
      <c r="L32" s="9"/>
    </row>
    <row r="33" spans="1:12">
      <c r="A33" s="2"/>
      <c r="B33" s="10">
        <f t="shared" si="0"/>
        <v>31</v>
      </c>
      <c r="C33" s="12" t="s">
        <v>145</v>
      </c>
      <c r="D33" s="11" t="s">
        <v>151</v>
      </c>
      <c r="E33" s="11" t="s">
        <v>152</v>
      </c>
      <c r="F33" s="11" t="s">
        <v>132</v>
      </c>
      <c r="G33" s="11" t="s">
        <v>153</v>
      </c>
      <c r="H33" s="11" t="s">
        <v>154</v>
      </c>
      <c r="I33" s="11" t="s">
        <v>155</v>
      </c>
      <c r="J33" s="11">
        <v>1</v>
      </c>
      <c r="K33" s="16"/>
      <c r="L33" s="11"/>
    </row>
    <row r="34" spans="1:12" ht="36">
      <c r="A34" s="2"/>
      <c r="B34" s="7">
        <f t="shared" si="0"/>
        <v>32</v>
      </c>
      <c r="C34" s="8" t="s">
        <v>145</v>
      </c>
      <c r="D34" s="9" t="s">
        <v>156</v>
      </c>
      <c r="E34" s="9" t="s">
        <v>157</v>
      </c>
      <c r="F34" s="11" t="s">
        <v>132</v>
      </c>
      <c r="G34" s="9" t="s">
        <v>158</v>
      </c>
      <c r="H34" s="9" t="s">
        <v>159</v>
      </c>
      <c r="I34" s="9" t="s">
        <v>160</v>
      </c>
      <c r="J34" s="9">
        <v>1</v>
      </c>
      <c r="K34" s="15"/>
      <c r="L34" s="9"/>
    </row>
    <row r="35" spans="1:12" ht="24">
      <c r="A35" s="2"/>
      <c r="B35" s="10">
        <f t="shared" si="0"/>
        <v>33</v>
      </c>
      <c r="C35" s="12" t="s">
        <v>161</v>
      </c>
      <c r="D35" s="11" t="s">
        <v>162</v>
      </c>
      <c r="E35" s="11" t="s">
        <v>163</v>
      </c>
      <c r="F35" s="11" t="s">
        <v>164</v>
      </c>
      <c r="G35" s="11" t="s">
        <v>165</v>
      </c>
      <c r="H35" s="11" t="s">
        <v>166</v>
      </c>
      <c r="I35" s="11" t="s">
        <v>17</v>
      </c>
      <c r="J35" s="11">
        <v>1</v>
      </c>
      <c r="K35" s="16"/>
      <c r="L35" s="11"/>
    </row>
    <row r="36" spans="1:12" ht="48">
      <c r="A36" s="2"/>
      <c r="B36" s="7">
        <f t="shared" si="0"/>
        <v>34</v>
      </c>
      <c r="C36" s="12" t="s">
        <v>161</v>
      </c>
      <c r="D36" s="9" t="s">
        <v>167</v>
      </c>
      <c r="E36" s="9" t="s">
        <v>168</v>
      </c>
      <c r="F36" s="9" t="s">
        <v>169</v>
      </c>
      <c r="G36" s="9" t="s">
        <v>170</v>
      </c>
      <c r="H36" s="9" t="s">
        <v>171</v>
      </c>
      <c r="I36" s="11" t="s">
        <v>17</v>
      </c>
      <c r="J36" s="9">
        <v>1</v>
      </c>
      <c r="K36" s="15"/>
      <c r="L36" s="9"/>
    </row>
    <row r="37" spans="1:12">
      <c r="A37" s="2"/>
      <c r="B37" s="10">
        <f t="shared" si="0"/>
        <v>35</v>
      </c>
      <c r="C37" s="12" t="s">
        <v>172</v>
      </c>
      <c r="D37" s="13" t="s">
        <v>173</v>
      </c>
      <c r="E37" s="13" t="s">
        <v>17</v>
      </c>
      <c r="F37" s="13" t="s">
        <v>174</v>
      </c>
      <c r="G37" s="13" t="s">
        <v>17</v>
      </c>
      <c r="H37" s="13" t="s">
        <v>17</v>
      </c>
      <c r="I37" s="13" t="s">
        <v>17</v>
      </c>
      <c r="J37" s="13">
        <v>1</v>
      </c>
      <c r="K37" s="13"/>
      <c r="L37" s="13"/>
    </row>
    <row r="38" spans="1:12" ht="36">
      <c r="A38" s="2"/>
      <c r="B38" s="7">
        <f t="shared" si="0"/>
        <v>36</v>
      </c>
      <c r="C38" s="8" t="s">
        <v>175</v>
      </c>
      <c r="D38" s="9" t="s">
        <v>176</v>
      </c>
      <c r="E38" s="9" t="s">
        <v>177</v>
      </c>
      <c r="F38" s="9" t="s">
        <v>178</v>
      </c>
      <c r="G38" s="9" t="s">
        <v>179</v>
      </c>
      <c r="H38" s="9" t="s">
        <v>180</v>
      </c>
      <c r="I38" s="11" t="s">
        <v>17</v>
      </c>
      <c r="J38" s="9">
        <v>1</v>
      </c>
      <c r="K38" s="15"/>
      <c r="L38" s="9"/>
    </row>
    <row r="39" spans="1:12" ht="48">
      <c r="A39" s="2"/>
      <c r="B39" s="10">
        <f t="shared" si="0"/>
        <v>37</v>
      </c>
      <c r="C39" s="12" t="s">
        <v>175</v>
      </c>
      <c r="D39" s="11" t="s">
        <v>181</v>
      </c>
      <c r="E39" s="11" t="s">
        <v>182</v>
      </c>
      <c r="F39" s="11" t="s">
        <v>183</v>
      </c>
      <c r="G39" s="11" t="s">
        <v>184</v>
      </c>
      <c r="H39" s="11" t="s">
        <v>185</v>
      </c>
      <c r="I39" s="11" t="s">
        <v>17</v>
      </c>
      <c r="J39" s="11">
        <v>1</v>
      </c>
      <c r="K39" s="16"/>
      <c r="L39" s="11"/>
    </row>
    <row r="40" spans="1:12">
      <c r="A40" s="2"/>
      <c r="B40" s="7">
        <f t="shared" si="0"/>
        <v>38</v>
      </c>
      <c r="C40" s="12" t="s">
        <v>186</v>
      </c>
      <c r="D40" s="9" t="s">
        <v>187</v>
      </c>
      <c r="E40" s="9" t="s">
        <v>188</v>
      </c>
      <c r="F40" s="9" t="s">
        <v>189</v>
      </c>
      <c r="G40" s="9" t="s">
        <v>190</v>
      </c>
      <c r="H40" s="9" t="s">
        <v>16</v>
      </c>
      <c r="I40" s="9" t="s">
        <v>191</v>
      </c>
      <c r="J40" s="9">
        <v>2</v>
      </c>
      <c r="K40" s="15"/>
      <c r="L40" s="9"/>
    </row>
    <row r="41" spans="1:12">
      <c r="A41" s="2"/>
      <c r="B41" s="10">
        <f t="shared" si="0"/>
        <v>39</v>
      </c>
      <c r="C41" s="12" t="s">
        <v>186</v>
      </c>
      <c r="D41" s="11" t="s">
        <v>192</v>
      </c>
      <c r="E41" s="11" t="s">
        <v>193</v>
      </c>
      <c r="F41" s="11" t="s">
        <v>194</v>
      </c>
      <c r="G41" s="11" t="s">
        <v>195</v>
      </c>
      <c r="H41" s="11" t="s">
        <v>16</v>
      </c>
      <c r="I41" s="11" t="s">
        <v>196</v>
      </c>
      <c r="J41" s="11">
        <v>2</v>
      </c>
      <c r="K41" s="16"/>
      <c r="L41" s="11"/>
    </row>
    <row r="42" spans="1:12">
      <c r="A42" s="2"/>
      <c r="B42" s="7">
        <f t="shared" si="0"/>
        <v>40</v>
      </c>
      <c r="C42" s="12" t="s">
        <v>186</v>
      </c>
      <c r="D42" s="9" t="s">
        <v>197</v>
      </c>
      <c r="E42" s="9" t="s">
        <v>198</v>
      </c>
      <c r="F42" s="9" t="s">
        <v>199</v>
      </c>
      <c r="G42" s="9" t="s">
        <v>200</v>
      </c>
      <c r="H42" s="9" t="s">
        <v>16</v>
      </c>
      <c r="I42" s="9" t="s">
        <v>201</v>
      </c>
      <c r="J42" s="9">
        <v>5</v>
      </c>
      <c r="K42" s="15"/>
      <c r="L42" s="9"/>
    </row>
    <row r="43" spans="1:12">
      <c r="A43" s="2"/>
      <c r="B43" s="10">
        <f t="shared" si="0"/>
        <v>41</v>
      </c>
      <c r="C43" s="12" t="s">
        <v>186</v>
      </c>
      <c r="D43" s="11" t="s">
        <v>202</v>
      </c>
      <c r="E43" s="11" t="s">
        <v>203</v>
      </c>
      <c r="F43" s="11" t="s">
        <v>199</v>
      </c>
      <c r="G43" s="11" t="s">
        <v>204</v>
      </c>
      <c r="H43" s="11" t="s">
        <v>16</v>
      </c>
      <c r="I43" s="11" t="s">
        <v>205</v>
      </c>
      <c r="J43" s="11">
        <v>2</v>
      </c>
      <c r="K43" s="16"/>
      <c r="L43" s="11"/>
    </row>
    <row r="44" spans="1:12">
      <c r="A44" s="2"/>
      <c r="B44" s="7">
        <f t="shared" si="0"/>
        <v>42</v>
      </c>
      <c r="C44" s="8" t="s">
        <v>186</v>
      </c>
      <c r="D44" s="9" t="s">
        <v>206</v>
      </c>
      <c r="E44" s="9" t="s">
        <v>207</v>
      </c>
      <c r="F44" s="9" t="s">
        <v>194</v>
      </c>
      <c r="G44" s="9" t="s">
        <v>208</v>
      </c>
      <c r="H44" s="9" t="s">
        <v>16</v>
      </c>
      <c r="I44" s="9" t="s">
        <v>209</v>
      </c>
      <c r="J44" s="9">
        <v>1</v>
      </c>
      <c r="K44" s="15"/>
      <c r="L44" s="9"/>
    </row>
    <row r="45" spans="1:12">
      <c r="A45" s="2"/>
      <c r="B45" s="10">
        <f t="shared" si="0"/>
        <v>43</v>
      </c>
      <c r="C45" s="12" t="s">
        <v>186</v>
      </c>
      <c r="D45" s="11" t="s">
        <v>210</v>
      </c>
      <c r="E45" s="11" t="s">
        <v>211</v>
      </c>
      <c r="F45" s="11" t="s">
        <v>194</v>
      </c>
      <c r="G45" s="11" t="s">
        <v>212</v>
      </c>
      <c r="H45" s="11" t="s">
        <v>16</v>
      </c>
      <c r="I45" s="11" t="s">
        <v>213</v>
      </c>
      <c r="J45" s="11">
        <v>3</v>
      </c>
      <c r="K45" s="16"/>
      <c r="L45" s="11"/>
    </row>
    <row r="46" spans="1:12" ht="36">
      <c r="A46" s="2"/>
      <c r="B46" s="7">
        <f t="shared" si="0"/>
        <v>44</v>
      </c>
      <c r="C46" s="8" t="s">
        <v>186</v>
      </c>
      <c r="D46" s="9" t="s">
        <v>214</v>
      </c>
      <c r="E46" s="9" t="s">
        <v>215</v>
      </c>
      <c r="F46" s="9" t="s">
        <v>216</v>
      </c>
      <c r="G46" s="9" t="s">
        <v>217</v>
      </c>
      <c r="H46" s="9" t="s">
        <v>218</v>
      </c>
      <c r="I46" s="9" t="s">
        <v>219</v>
      </c>
      <c r="J46" s="9">
        <v>3</v>
      </c>
      <c r="K46" s="15"/>
      <c r="L46" s="9"/>
    </row>
    <row r="47" spans="1:12">
      <c r="A47" s="2"/>
      <c r="B47" s="10">
        <f t="shared" si="0"/>
        <v>45</v>
      </c>
      <c r="C47" s="8" t="s">
        <v>186</v>
      </c>
      <c r="D47" s="11" t="s">
        <v>220</v>
      </c>
      <c r="E47" s="11" t="s">
        <v>221</v>
      </c>
      <c r="F47" s="11" t="s">
        <v>194</v>
      </c>
      <c r="G47" s="11" t="s">
        <v>222</v>
      </c>
      <c r="H47" s="11" t="s">
        <v>16</v>
      </c>
      <c r="I47" s="11" t="s">
        <v>223</v>
      </c>
      <c r="J47" s="11">
        <v>1</v>
      </c>
      <c r="K47" s="16"/>
      <c r="L47" s="11"/>
    </row>
    <row r="48" spans="1:12">
      <c r="A48" s="2"/>
      <c r="B48" s="7">
        <f t="shared" si="0"/>
        <v>46</v>
      </c>
      <c r="C48" s="8" t="s">
        <v>186</v>
      </c>
      <c r="D48" s="9" t="s">
        <v>224</v>
      </c>
      <c r="E48" s="9" t="s">
        <v>225</v>
      </c>
      <c r="F48" s="9" t="s">
        <v>194</v>
      </c>
      <c r="G48" s="9" t="s">
        <v>226</v>
      </c>
      <c r="H48" s="9" t="s">
        <v>16</v>
      </c>
      <c r="I48" s="9" t="s">
        <v>227</v>
      </c>
      <c r="J48" s="9">
        <v>1</v>
      </c>
      <c r="K48" s="15"/>
      <c r="L48" s="9"/>
    </row>
    <row r="49" spans="1:15">
      <c r="A49" s="2"/>
      <c r="B49" s="10">
        <f t="shared" si="0"/>
        <v>47</v>
      </c>
      <c r="C49" s="8" t="s">
        <v>186</v>
      </c>
      <c r="D49" s="11" t="s">
        <v>228</v>
      </c>
      <c r="E49" s="11" t="s">
        <v>229</v>
      </c>
      <c r="F49" s="11" t="s">
        <v>194</v>
      </c>
      <c r="G49" s="11" t="s">
        <v>230</v>
      </c>
      <c r="H49" s="11" t="s">
        <v>16</v>
      </c>
      <c r="I49" s="11" t="s">
        <v>231</v>
      </c>
      <c r="J49" s="11">
        <v>1</v>
      </c>
      <c r="K49" s="16"/>
      <c r="L49" s="11"/>
    </row>
    <row r="50" spans="1:15">
      <c r="A50" s="2"/>
      <c r="B50" s="10">
        <f t="shared" si="0"/>
        <v>48</v>
      </c>
      <c r="C50" s="31" t="s">
        <v>186</v>
      </c>
      <c r="D50" s="30" t="s">
        <v>302</v>
      </c>
      <c r="E50" s="30" t="s">
        <v>303</v>
      </c>
      <c r="F50" s="30" t="s">
        <v>194</v>
      </c>
      <c r="G50" s="13" t="s">
        <v>304</v>
      </c>
      <c r="H50" s="30" t="s">
        <v>16</v>
      </c>
      <c r="I50" s="30" t="s">
        <v>305</v>
      </c>
      <c r="J50" s="9">
        <v>1</v>
      </c>
      <c r="K50" s="15"/>
      <c r="L50" s="9"/>
    </row>
    <row r="51" spans="1:15">
      <c r="A51" s="2"/>
      <c r="B51" s="7">
        <f t="shared" si="0"/>
        <v>49</v>
      </c>
      <c r="C51" s="8" t="s">
        <v>232</v>
      </c>
      <c r="D51" s="9" t="s">
        <v>233</v>
      </c>
      <c r="E51" s="9" t="s">
        <v>234</v>
      </c>
      <c r="F51" s="9" t="s">
        <v>235</v>
      </c>
      <c r="G51" s="9" t="s">
        <v>235</v>
      </c>
      <c r="H51" s="9" t="s">
        <v>236</v>
      </c>
      <c r="I51" s="9" t="s">
        <v>17</v>
      </c>
      <c r="J51" s="9">
        <v>2</v>
      </c>
      <c r="K51" s="15"/>
      <c r="L51" s="9"/>
    </row>
    <row r="52" spans="1:15" s="1" customFormat="1">
      <c r="A52" s="6"/>
      <c r="B52" s="10">
        <f t="shared" si="0"/>
        <v>50</v>
      </c>
      <c r="C52" s="8" t="s">
        <v>237</v>
      </c>
      <c r="D52" s="11" t="s">
        <v>238</v>
      </c>
      <c r="E52" s="11" t="s">
        <v>239</v>
      </c>
      <c r="F52" s="11" t="s">
        <v>240</v>
      </c>
      <c r="G52" s="11" t="s">
        <v>241</v>
      </c>
      <c r="H52" s="11" t="s">
        <v>242</v>
      </c>
      <c r="I52" s="11" t="s">
        <v>17</v>
      </c>
      <c r="J52" s="11">
        <v>1</v>
      </c>
      <c r="K52" s="16"/>
      <c r="L52" s="11"/>
      <c r="N52"/>
      <c r="O52"/>
    </row>
    <row r="53" spans="1:15">
      <c r="A53" s="2"/>
      <c r="B53" s="7">
        <f t="shared" si="0"/>
        <v>51</v>
      </c>
      <c r="C53" s="8" t="s">
        <v>237</v>
      </c>
      <c r="D53" s="9" t="s">
        <v>243</v>
      </c>
      <c r="E53" s="9" t="s">
        <v>244</v>
      </c>
      <c r="F53" s="9" t="s">
        <v>245</v>
      </c>
      <c r="G53" s="9" t="s">
        <v>246</v>
      </c>
      <c r="H53" s="9" t="s">
        <v>247</v>
      </c>
      <c r="I53" s="9" t="s">
        <v>17</v>
      </c>
      <c r="J53" s="9">
        <v>1</v>
      </c>
      <c r="K53" s="15"/>
      <c r="L53" s="9"/>
    </row>
    <row r="54" spans="1:15">
      <c r="A54" s="2"/>
      <c r="B54" s="10">
        <f t="shared" si="0"/>
        <v>52</v>
      </c>
      <c r="C54" s="8" t="s">
        <v>237</v>
      </c>
      <c r="D54" s="11" t="s">
        <v>248</v>
      </c>
      <c r="E54" s="11" t="s">
        <v>249</v>
      </c>
      <c r="F54" s="11" t="s">
        <v>250</v>
      </c>
      <c r="G54" s="11" t="s">
        <v>251</v>
      </c>
      <c r="H54" s="11" t="s">
        <v>252</v>
      </c>
      <c r="I54" s="11" t="s">
        <v>17</v>
      </c>
      <c r="J54" s="11">
        <v>1</v>
      </c>
      <c r="K54" s="16"/>
      <c r="L54" s="11"/>
    </row>
    <row r="55" spans="1:15">
      <c r="A55" s="2"/>
      <c r="B55" s="7">
        <f t="shared" si="0"/>
        <v>53</v>
      </c>
      <c r="C55" s="8" t="s">
        <v>237</v>
      </c>
      <c r="D55" s="9" t="s">
        <v>253</v>
      </c>
      <c r="E55" s="9" t="s">
        <v>254</v>
      </c>
      <c r="F55" s="9" t="s">
        <v>255</v>
      </c>
      <c r="G55" s="9" t="s">
        <v>256</v>
      </c>
      <c r="H55" s="9" t="s">
        <v>257</v>
      </c>
      <c r="I55" s="9" t="s">
        <v>17</v>
      </c>
      <c r="J55" s="9">
        <v>1</v>
      </c>
      <c r="K55" s="15"/>
      <c r="L55" s="9"/>
    </row>
    <row r="56" spans="1:15">
      <c r="A56" s="2"/>
      <c r="B56" s="10">
        <f t="shared" si="0"/>
        <v>54</v>
      </c>
      <c r="C56" s="12" t="s">
        <v>237</v>
      </c>
      <c r="D56" s="11" t="s">
        <v>258</v>
      </c>
      <c r="E56" s="11" t="s">
        <v>259</v>
      </c>
      <c r="F56" s="11" t="s">
        <v>260</v>
      </c>
      <c r="G56" s="11" t="s">
        <v>261</v>
      </c>
      <c r="H56" s="11" t="s">
        <v>262</v>
      </c>
      <c r="I56" s="11"/>
      <c r="J56" s="11">
        <v>3</v>
      </c>
      <c r="K56" s="16"/>
      <c r="L56" s="11"/>
    </row>
    <row r="57" spans="1:15">
      <c r="A57" s="2"/>
      <c r="B57" s="7">
        <f t="shared" si="0"/>
        <v>55</v>
      </c>
      <c r="C57" s="8" t="s">
        <v>237</v>
      </c>
      <c r="D57" s="9" t="s">
        <v>263</v>
      </c>
      <c r="E57" s="9" t="s">
        <v>264</v>
      </c>
      <c r="F57" s="9" t="s">
        <v>265</v>
      </c>
      <c r="G57" s="9" t="s">
        <v>266</v>
      </c>
      <c r="H57" s="9" t="s">
        <v>267</v>
      </c>
      <c r="I57" s="9"/>
      <c r="J57" s="9">
        <v>1</v>
      </c>
      <c r="K57" s="15"/>
      <c r="L57" s="9"/>
    </row>
    <row r="58" spans="1:15">
      <c r="A58" s="2"/>
      <c r="B58" s="10">
        <f t="shared" si="0"/>
        <v>56</v>
      </c>
      <c r="C58" s="12" t="s">
        <v>237</v>
      </c>
      <c r="D58" s="11" t="s">
        <v>268</v>
      </c>
      <c r="E58" s="11" t="s">
        <v>269</v>
      </c>
      <c r="F58" s="11" t="s">
        <v>270</v>
      </c>
      <c r="G58" s="11" t="s">
        <v>271</v>
      </c>
      <c r="H58" s="11" t="s">
        <v>272</v>
      </c>
      <c r="I58" s="11"/>
      <c r="J58" s="11">
        <v>1</v>
      </c>
      <c r="K58" s="16"/>
      <c r="L58" s="11"/>
    </row>
    <row r="59" spans="1:15">
      <c r="A59" s="2"/>
      <c r="B59" s="7">
        <f t="shared" si="0"/>
        <v>57</v>
      </c>
      <c r="C59" s="8" t="s">
        <v>237</v>
      </c>
      <c r="D59" s="9" t="s">
        <v>273</v>
      </c>
      <c r="E59" s="9" t="s">
        <v>274</v>
      </c>
      <c r="F59" s="9" t="s">
        <v>275</v>
      </c>
      <c r="G59" s="9" t="s">
        <v>276</v>
      </c>
      <c r="H59" s="9" t="s">
        <v>262</v>
      </c>
      <c r="I59" s="9"/>
      <c r="J59" s="9">
        <v>1</v>
      </c>
      <c r="K59" s="15"/>
      <c r="L59" s="9"/>
    </row>
    <row r="60" spans="1:15" ht="36">
      <c r="A60" s="2"/>
      <c r="B60" s="10">
        <f t="shared" si="0"/>
        <v>58</v>
      </c>
      <c r="C60" s="12" t="s">
        <v>277</v>
      </c>
      <c r="D60" s="11" t="s">
        <v>278</v>
      </c>
      <c r="E60" s="11" t="s">
        <v>279</v>
      </c>
      <c r="F60" s="11" t="s">
        <v>132</v>
      </c>
      <c r="G60" s="11" t="s">
        <v>280</v>
      </c>
      <c r="H60" s="11" t="s">
        <v>281</v>
      </c>
      <c r="I60" s="11" t="s">
        <v>282</v>
      </c>
      <c r="J60" s="11">
        <v>1</v>
      </c>
      <c r="K60" s="16"/>
      <c r="L60" s="11"/>
    </row>
    <row r="61" spans="1:15" ht="24">
      <c r="A61" s="2"/>
      <c r="B61" s="7">
        <f t="shared" si="0"/>
        <v>59</v>
      </c>
      <c r="C61" s="12" t="s">
        <v>277</v>
      </c>
      <c r="D61" s="9" t="s">
        <v>283</v>
      </c>
      <c r="E61" s="9" t="s">
        <v>284</v>
      </c>
      <c r="F61" s="11" t="s">
        <v>132</v>
      </c>
      <c r="G61" s="9" t="s">
        <v>285</v>
      </c>
      <c r="H61" s="9" t="s">
        <v>286</v>
      </c>
      <c r="I61" s="9" t="s">
        <v>287</v>
      </c>
      <c r="J61" s="9">
        <v>1</v>
      </c>
      <c r="K61" s="15"/>
      <c r="L61" s="9"/>
    </row>
    <row r="62" spans="1:15">
      <c r="A62" s="2"/>
      <c r="B62" s="7">
        <f t="shared" si="0"/>
        <v>60</v>
      </c>
      <c r="C62" s="12" t="s">
        <v>288</v>
      </c>
      <c r="D62" s="9" t="s">
        <v>17</v>
      </c>
      <c r="E62" s="9" t="s">
        <v>289</v>
      </c>
      <c r="F62" s="11" t="s">
        <v>17</v>
      </c>
      <c r="G62" s="9" t="s">
        <v>290</v>
      </c>
      <c r="H62" s="9" t="s">
        <v>17</v>
      </c>
      <c r="I62" s="9"/>
      <c r="J62" s="9">
        <v>5</v>
      </c>
      <c r="K62" s="15" t="s">
        <v>19</v>
      </c>
      <c r="L62" s="9"/>
    </row>
    <row r="63" spans="1:15">
      <c r="A63" s="2"/>
      <c r="B63" s="7">
        <f t="shared" si="0"/>
        <v>61</v>
      </c>
      <c r="C63" s="12" t="s">
        <v>288</v>
      </c>
      <c r="D63" s="32" t="s">
        <v>17</v>
      </c>
      <c r="E63" s="32" t="s">
        <v>307</v>
      </c>
      <c r="F63" s="11" t="s">
        <v>17</v>
      </c>
      <c r="G63" s="32" t="s">
        <v>306</v>
      </c>
      <c r="H63" s="9" t="s">
        <v>17</v>
      </c>
      <c r="I63" s="9" t="s">
        <v>17</v>
      </c>
      <c r="J63" s="9">
        <v>1</v>
      </c>
      <c r="K63" s="15" t="s">
        <v>308</v>
      </c>
      <c r="L63" s="9"/>
    </row>
    <row r="64" spans="1:15" ht="15.75" thickBot="1">
      <c r="A64" s="2"/>
      <c r="B64" s="7">
        <f t="shared" si="0"/>
        <v>62</v>
      </c>
      <c r="C64" s="12" t="s">
        <v>288</v>
      </c>
      <c r="D64" s="9"/>
      <c r="E64" s="9" t="s">
        <v>292</v>
      </c>
      <c r="F64" s="11"/>
      <c r="G64" s="9" t="s">
        <v>291</v>
      </c>
      <c r="H64" s="9"/>
      <c r="I64" s="9"/>
      <c r="J64" s="9">
        <v>6</v>
      </c>
      <c r="K64" s="15"/>
      <c r="L64" s="9"/>
    </row>
    <row r="65" spans="1:12" ht="19.5" thickBot="1">
      <c r="A65" s="2"/>
      <c r="B65" s="18"/>
      <c r="C65" s="19"/>
      <c r="D65" s="20"/>
      <c r="E65" s="21"/>
      <c r="F65" s="22"/>
      <c r="G65" s="23"/>
      <c r="H65" s="22"/>
      <c r="I65" s="23"/>
      <c r="J65" s="23"/>
      <c r="K65" s="29"/>
      <c r="L65" s="34"/>
    </row>
    <row r="66" spans="1:12" ht="19.5" thickBot="1">
      <c r="A66" s="2"/>
      <c r="B66" s="24"/>
      <c r="C66" s="25"/>
      <c r="D66" s="26"/>
      <c r="E66" s="27"/>
      <c r="F66" s="27"/>
      <c r="G66" s="27"/>
      <c r="H66" s="27"/>
      <c r="I66" s="27"/>
      <c r="J66" s="27"/>
      <c r="K66" s="29"/>
      <c r="L66" s="35"/>
    </row>
  </sheetData>
  <mergeCells count="2">
    <mergeCell ref="I1:L1"/>
    <mergeCell ref="L65:L66"/>
  </mergeCells>
  <hyperlinks>
    <hyperlink ref="K62" r:id="rId1"/>
    <hyperlink ref="K63" r:id="rId2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2019-12-12T10:34:00Z</dcterms:created>
  <dcterms:modified xsi:type="dcterms:W3CDTF">2023-11-24T12:58:06Z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8759AEA4C4FF401E8BF1D20E41D93347_13</vt:lpwstr>
  </property>
  <property fmtid="{D5CDD505-2E9C-101B-9397-08002B2CF9AE}" pid="3" name="KSOProductBuildVer">
    <vt:lpwstr>1033-12.2.0.13266</vt:lpwstr>
  </property>
</Properties>
</file>