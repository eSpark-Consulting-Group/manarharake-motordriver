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manarharake-motordriver\Design Files\DC-Motor-Driver\Project Outputs for DC-Motor-Driver-v1.0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0" i="1" l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<sst xmlns="http://schemas.openxmlformats.org/spreadsheetml/2006/main" count="485" uniqueCount="341">
  <si>
    <t>#</t>
  </si>
  <si>
    <t>Item Type</t>
  </si>
  <si>
    <t>Capacitor</t>
  </si>
  <si>
    <t>Diode</t>
  </si>
  <si>
    <t>Fuse</t>
  </si>
  <si>
    <t>Ferrite Bead</t>
  </si>
  <si>
    <t>USB B Connector</t>
  </si>
  <si>
    <t>Header</t>
  </si>
  <si>
    <t>Jtag Male Header</t>
  </si>
  <si>
    <t>Headers</t>
  </si>
  <si>
    <t>Inductor</t>
  </si>
  <si>
    <t>Mosfet</t>
  </si>
  <si>
    <t>MOSFETs</t>
  </si>
  <si>
    <t>Resistor</t>
  </si>
  <si>
    <t>Switch</t>
  </si>
  <si>
    <t>DIP Switche</t>
  </si>
  <si>
    <t>IC</t>
  </si>
  <si>
    <t>Crystal</t>
  </si>
  <si>
    <t>Designator</t>
  </si>
  <si>
    <t>C1, C2, C11, C63</t>
  </si>
  <si>
    <t>C3, C5, C7, C9, C10, C23, C26, C27, C30, C31, C32, C33, C34, C35, C36, C37, C38, C45, C46, C48</t>
  </si>
  <si>
    <t>C4, C6, C8, C15, C18, C20, C22, C25, C29</t>
  </si>
  <si>
    <t>C12, C13, C14, C16, C17, C19, C21, C47, C49, C52, C53, C56, C57, C58, C59, C67, C68, C71, C72, C75, C76, C79, C80, C84, C90, C91, C92</t>
  </si>
  <si>
    <t>C24, C28, C61, C62, C82</t>
  </si>
  <si>
    <t>C39, C40, C42, C43</t>
  </si>
  <si>
    <t>C41</t>
  </si>
  <si>
    <t>C44, C60, C83</t>
  </si>
  <si>
    <t>C50, C51, C65, C66, C73, C74</t>
  </si>
  <si>
    <t>C54, C55, C69, C70, C77, C78</t>
  </si>
  <si>
    <t>C64</t>
  </si>
  <si>
    <t>C81</t>
  </si>
  <si>
    <t>C85</t>
  </si>
  <si>
    <t>C86, C87</t>
  </si>
  <si>
    <t>C88</t>
  </si>
  <si>
    <t>C89</t>
  </si>
  <si>
    <t>D1, D6, D7</t>
  </si>
  <si>
    <t>D2, D5</t>
  </si>
  <si>
    <t>D3</t>
  </si>
  <si>
    <t>D4</t>
  </si>
  <si>
    <t>D8</t>
  </si>
  <si>
    <t>F1</t>
  </si>
  <si>
    <t>FB1, FB2</t>
  </si>
  <si>
    <t>J1, J2, J3, J4, J5, J6</t>
  </si>
  <si>
    <t>J8</t>
  </si>
  <si>
    <t>J9</t>
  </si>
  <si>
    <t>J11</t>
  </si>
  <si>
    <t>J12, J13</t>
  </si>
  <si>
    <t>J14</t>
  </si>
  <si>
    <t>L1</t>
  </si>
  <si>
    <t>L2</t>
  </si>
  <si>
    <t>L3</t>
  </si>
  <si>
    <t>LED1</t>
  </si>
  <si>
    <t>Q1</t>
  </si>
  <si>
    <t>Q2, Q3</t>
  </si>
  <si>
    <t>Q4</t>
  </si>
  <si>
    <t>R1</t>
  </si>
  <si>
    <t>R2</t>
  </si>
  <si>
    <t>R3, R4, R15, R16, R33, R34</t>
  </si>
  <si>
    <t>R5, R6, R17, R19, R35, R36</t>
  </si>
  <si>
    <t>R7, R12, R21, R22, R37, R38</t>
  </si>
  <si>
    <t>R8</t>
  </si>
  <si>
    <t>R9, R20, R52, R53, R54, R55, R56, R57, R58, R59, R60</t>
  </si>
  <si>
    <t>R10, R26</t>
  </si>
  <si>
    <t>R11, R18</t>
  </si>
  <si>
    <t>R13, R14, R23, R24, R39, R40</t>
  </si>
  <si>
    <t>R25</t>
  </si>
  <si>
    <t>R27, R28, R29, R30, R31</t>
  </si>
  <si>
    <t>R32</t>
  </si>
  <si>
    <t>R41</t>
  </si>
  <si>
    <t>R42</t>
  </si>
  <si>
    <t>R43</t>
  </si>
  <si>
    <t>R44, R46, R47, R48, R49, R50, R51, R61, R63, R65, R67, R69, R71, R73, R75, R77, R79, R80, R81, R82, R83, R84</t>
  </si>
  <si>
    <t>R45</t>
  </si>
  <si>
    <t>R62, R64, R66, R68, R70, R72, R74, R76, R78</t>
  </si>
  <si>
    <t>SW1, SW2, SW3</t>
  </si>
  <si>
    <t>SW4</t>
  </si>
  <si>
    <t>U1</t>
  </si>
  <si>
    <t>U2</t>
  </si>
  <si>
    <t>U3</t>
  </si>
  <si>
    <t>U4</t>
  </si>
  <si>
    <t>U6, U7, U10, U11, U12, U13</t>
  </si>
  <si>
    <t>U8</t>
  </si>
  <si>
    <t>U9</t>
  </si>
  <si>
    <t>U14</t>
  </si>
  <si>
    <t>U15</t>
  </si>
  <si>
    <t>X1</t>
  </si>
  <si>
    <t>X2</t>
  </si>
  <si>
    <t>Description</t>
  </si>
  <si>
    <t>CAP CER 1UF 16V X5R 0402</t>
  </si>
  <si>
    <t>CAP CER 0.22UF 25V X5R 0402</t>
  </si>
  <si>
    <t>CAP CER 4.7UF 10V X5R 0402</t>
  </si>
  <si>
    <t>CAP CER 0.1UF 50V X7R 0402</t>
  </si>
  <si>
    <t>CAP CER 22UF 10V X5R 0603</t>
  </si>
  <si>
    <t>CAP CER 12PF 50V C0G/NP0 0402</t>
  </si>
  <si>
    <t>10V 33uF X5R ±20% 1206 ROHS</t>
  </si>
  <si>
    <t>CAP CER 10UF 25V X5R 0603</t>
  </si>
  <si>
    <t>CAP TANT 47UF 20% 10V 1206</t>
  </si>
  <si>
    <t>CAP CER 0.022UF 16V X7R 0402</t>
  </si>
  <si>
    <t>CAP CER 1000PF 25V C0G/NPO 0603</t>
  </si>
  <si>
    <t>CAP CER 0.47UF 16V X5R 0402</t>
  </si>
  <si>
    <t>CAP CER 1nF 100V X7R 0603</t>
  </si>
  <si>
    <t>CAP CER 47uF 25V 1210</t>
  </si>
  <si>
    <t>50V 3nF 0402 Multilayer Ceramic Capacitors MLCC - SMD/SMT ROHS</t>
  </si>
  <si>
    <t>47uF 25V 0.9Ω@100kHz ±10% CASE-D-7343 Tantalum Capacitors ROHS</t>
  </si>
  <si>
    <t>DIODE SCHOTTKY 30V 200MA SOD523</t>
  </si>
  <si>
    <t>Schottky Barrier Diode SK36, DO-214AB, 3A/60V</t>
  </si>
  <si>
    <t>16A 20V 7V 5V@Max Unidirectional SOT-23 TVS ROHS</t>
  </si>
  <si>
    <t>TVS DIODE 5VWM 6.3VC DSN0603-2</t>
  </si>
  <si>
    <t>DIODE SCHOTTKY 40V 5A SMC</t>
  </si>
  <si>
    <t>6V 500mA 40A 1A 0603 Resettable Fuses ROHS</t>
  </si>
  <si>
    <t>FERRITE BEAD 120 OHM 0402 1LN</t>
  </si>
  <si>
    <t>Right-Angle Square Pins 2.5mm 8P 6mm -40℃~+105℃ 2.54mm Plugin Black Brass 1x8P Push-Pull,P=2.54mm Pin Headers ROHS</t>
  </si>
  <si>
    <t>CONN RCPT USB2.0 MICRO B SMD R/A</t>
  </si>
  <si>
    <t>1A Right-Angle Square Pins 1mm 4P 4mm -40℃~+105℃ 1.27mm Plugin 1x4P Push-Pull,P=1.27mm Pin Headers ROHS</t>
  </si>
  <si>
    <t>CONN HEADER SMD 10POS 1.27MM</t>
  </si>
  <si>
    <t>250V 1A Right-Angle Square Pins 2P -25℃~+85℃ 1.27mm Plugin Black 1x2P Push-Pull,P=1.27mm Pin Headers ROHS</t>
  </si>
  <si>
    <t>Gold Right-Angle Square Pins 2mm 3mm 10P -40℃~+105℃ 1.27mm Double row 2x5P Push-Pull,P=1.27mm Pin Headers ROHS</t>
  </si>
  <si>
    <t>FIXED IND 4.7UH 1.6A 157MOHM SMD</t>
  </si>
  <si>
    <t>FIXED IND 3.9UH 2.5A 56MOHM SMD</t>
  </si>
  <si>
    <t>FIXED IND 1UH 18A 6.18MOHM SM</t>
  </si>
  <si>
    <t>Colorless transparence -30℃~+85℃ 601nm~603nm Positive post Orange 120° 55mW 0805 Light Emitting Diodes (LED) ROHS</t>
  </si>
  <si>
    <t>30V 4.1A 60mΩ@10V,4.1A 350mW 3V@250uA P Channel SOT-23 MOSFETs ROHS</t>
  </si>
  <si>
    <t>40V 100mW 100@10mA,1V 200mA 300MHz 300mV@50mA,5mA NPN -55℃~+150℃@(Tj) SOT-723 Bipolar Transistors - BJT ROHS</t>
  </si>
  <si>
    <t>MOSFET P-CH 20V 76A 8VSON</t>
  </si>
  <si>
    <t>RES 100K OHM 1% 1/16W 0402</t>
  </si>
  <si>
    <t>RES 30K OHM 1% 1/16W 0402</t>
  </si>
  <si>
    <t>RES 0 OHM JUMPER 1/16W 0402</t>
  </si>
  <si>
    <t>62.5mW Thick Film Resistors 50V ±100ppm/℃ ±1% 4.3kΩ 0402 Chip Resistor - Surface Mount ROHS</t>
  </si>
  <si>
    <t>RES SMD 1K OHM 1% 1/5W 0402</t>
  </si>
  <si>
    <t>RES 10K OHM 1% 1/16W 0402</t>
  </si>
  <si>
    <t>RES SMD 1K OHM 1% 1/10W 0603</t>
  </si>
  <si>
    <t>RES SMD 4.7K OHM 5% 1/10W 0603</t>
  </si>
  <si>
    <t>RES SMD 1M OHM 1% 1/10W 0603</t>
  </si>
  <si>
    <t>RES SMD 3.16KOHM 0.1% 1/10W 0603</t>
  </si>
  <si>
    <t>RES 130 OHM 1% 1/10W 0603</t>
  </si>
  <si>
    <t>RES SMD 2.87KOHM 0.1% 1/16W 0402</t>
  </si>
  <si>
    <t>RES 47K OHM 1% 1/16W 0402</t>
  </si>
  <si>
    <t>RES 0.01 OHM 1% 1W 1206</t>
  </si>
  <si>
    <t>100mW Thick Film Resistors 75V ±100ppm/℃ ±1% 68.1kΩ 0603 Chip Resistor - Surface Mount ROHS</t>
  </si>
  <si>
    <t>RES SMD 4.12K OHM 1% 1/16W 0402</t>
  </si>
  <si>
    <t>RES SMD 2.61KOHM 0.1% 1/10W 0603</t>
  </si>
  <si>
    <t>SWITCH TACTILE SPST-NO 0.05A 12V</t>
  </si>
  <si>
    <t>9Bit SPST Black Slide (Standard),凸起式 SMD-18P,6x22.9mm DIP Switches ROHS</t>
  </si>
  <si>
    <t>IC MCU 32BIT EXT MEM 196LFBGA</t>
  </si>
  <si>
    <t>IC FLASH 64MBIT SPI/QUAD 8SOIC</t>
  </si>
  <si>
    <t>3-Pin uP Reset Circuits with Ope</t>
  </si>
  <si>
    <t>IC EEPROM 64KBIT I2C 8UFDFPN</t>
  </si>
  <si>
    <t>DRV8874 H-BRIDGE MOTOR DRIVER</t>
  </si>
  <si>
    <t>IC REG BUCK 3.3V 2A TSOT26</t>
  </si>
  <si>
    <t>IC SUPERVISOR 1 CHANNEL 5VSOF</t>
  </si>
  <si>
    <t>15V 1.3V @ 800mA Fixed 3.3V SOT-223 Linear Voltage Regulators (LDO) ROHS</t>
  </si>
  <si>
    <t>IC REG CTRLR BUCK 8VSSOP</t>
  </si>
  <si>
    <t>24MHz SMD Crystal Resonator 12pF ±10ppm ±30ppm -40℃~+85℃ SMD3225-4P Crystals ROHS</t>
  </si>
  <si>
    <t>CRYSTAL 32.7680KHZ 12.5PF SMD</t>
  </si>
  <si>
    <t>Footprint</t>
  </si>
  <si>
    <t>Cap-0402</t>
  </si>
  <si>
    <t>cap-0402</t>
  </si>
  <si>
    <t>Cap-0603</t>
  </si>
  <si>
    <t>Cap-1206</t>
  </si>
  <si>
    <t>Tant-1206</t>
  </si>
  <si>
    <t>CAP-0603</t>
  </si>
  <si>
    <t>Cap-1210</t>
  </si>
  <si>
    <t>Case-D</t>
  </si>
  <si>
    <t>SOD-523</t>
  </si>
  <si>
    <t>SMA</t>
  </si>
  <si>
    <t>Sot-23</t>
  </si>
  <si>
    <t>DSN0603-2</t>
  </si>
  <si>
    <t>SMC</t>
  </si>
  <si>
    <t>Fuse-0603</t>
  </si>
  <si>
    <t>IND-0402</t>
  </si>
  <si>
    <t>HDR 1x8 Male Right Angle</t>
  </si>
  <si>
    <t>10118194-0001LF_</t>
  </si>
  <si>
    <t>HDR1X4 (R/A Male) 1.27mm Pitch</t>
  </si>
  <si>
    <t>20021121-00010C4LF_</t>
  </si>
  <si>
    <t>HDR1X2 (R/A Male) 1.27mm Pitch</t>
  </si>
  <si>
    <t>HDR 2x5TH (rigth angle) 1.27mm Pitch</t>
  </si>
  <si>
    <t>IND-1210</t>
  </si>
  <si>
    <t>SWPA5020S3R9NT</t>
  </si>
  <si>
    <t>XAL6030-102MEC</t>
  </si>
  <si>
    <t>LED-0805</t>
  </si>
  <si>
    <t>SOT-23</t>
  </si>
  <si>
    <t>SOT-723</t>
  </si>
  <si>
    <t>8-VSONP (3x3.3)</t>
  </si>
  <si>
    <t>Res-0402</t>
  </si>
  <si>
    <t>Res-0603</t>
  </si>
  <si>
    <t>Res-1206</t>
  </si>
  <si>
    <t>B3U-1000P</t>
  </si>
  <si>
    <t>DSIC09LSGET</t>
  </si>
  <si>
    <t>196-LFBGA (12x12)</t>
  </si>
  <si>
    <t>SOIC-8 (208 mil)</t>
  </si>
  <si>
    <t>DFN-8-EP(2x3)</t>
  </si>
  <si>
    <t>HTSSOP-16</t>
  </si>
  <si>
    <t>TSOT-23-6</t>
  </si>
  <si>
    <t>VSOF 5</t>
  </si>
  <si>
    <t>SOT- 223</t>
  </si>
  <si>
    <t>8-VSSOP (5x3.1mm)</t>
  </si>
  <si>
    <t>X322524MOB4SI-</t>
  </si>
  <si>
    <t>NX3215SA-32.768K-STD-MUA-8_</t>
  </si>
  <si>
    <t>Manufacturer Part Number</t>
  </si>
  <si>
    <t>CC0402KRX5R7BB105</t>
  </si>
  <si>
    <t>CC0402KRX5R8BB224</t>
  </si>
  <si>
    <t>CC0402KRX5R6BB475</t>
  </si>
  <si>
    <t>C1005X7R1H104KT000F</t>
  </si>
  <si>
    <t>CC0603MRX5R6BB226</t>
  </si>
  <si>
    <t>GJM1555C1H120GB01D</t>
  </si>
  <si>
    <t>C3216X5R1A336MTJ00N</t>
  </si>
  <si>
    <t>CL10A106MA8NRNC</t>
  </si>
  <si>
    <t>TMCMA1A476MTRF</t>
  </si>
  <si>
    <t>CC0402JRX7R7BB223</t>
  </si>
  <si>
    <t>CC0603JRNPO8BN102</t>
  </si>
  <si>
    <t>CC0402KRX5R7BB474</t>
  </si>
  <si>
    <t>CL10B102KC8NNNC</t>
  </si>
  <si>
    <t>TMK325ABJ476MM-P</t>
  </si>
  <si>
    <t>0402B302K500NT</t>
  </si>
  <si>
    <t>CA45-D025K476T</t>
  </si>
  <si>
    <t>RB521S30YL</t>
  </si>
  <si>
    <t>SS36</t>
  </si>
  <si>
    <t>ESD5302F-3/TR</t>
  </si>
  <si>
    <t>PESD5V0H1BSFYL</t>
  </si>
  <si>
    <t>B540C-13-F</t>
  </si>
  <si>
    <t>SMD0603-050</t>
  </si>
  <si>
    <t>BLM15PD121SN1D</t>
  </si>
  <si>
    <t>PZ254R-11-08P</t>
  </si>
  <si>
    <t>10118194-0001LF</t>
  </si>
  <si>
    <t>KH-1.27PH90-1X4P-L10.5</t>
  </si>
  <si>
    <t>20021121-00010C4LF</t>
  </si>
  <si>
    <t>1.27-2P</t>
  </si>
  <si>
    <t>1271WR-2x5P</t>
  </si>
  <si>
    <t>DFE322512F-4R7M=P2</t>
  </si>
  <si>
    <t>AO3407</t>
  </si>
  <si>
    <t>MMBT3904M</t>
  </si>
  <si>
    <t>CSD25402Q3A</t>
  </si>
  <si>
    <t>RC0402FR-07100KL</t>
  </si>
  <si>
    <t>RC0402FR-0730KL</t>
  </si>
  <si>
    <t>RC0402FR-070RL</t>
  </si>
  <si>
    <t>0402WGF4301TCE</t>
  </si>
  <si>
    <t>CRCW04021K00FKEDHP</t>
  </si>
  <si>
    <t>RC0402FR-0710KL</t>
  </si>
  <si>
    <t>RC0603FR-071KL</t>
  </si>
  <si>
    <t>RC0603JR-074K7L</t>
  </si>
  <si>
    <t>RC0603FR-071ML</t>
  </si>
  <si>
    <t>RT0603BRD073K16L</t>
  </si>
  <si>
    <t>RC0603FR-07130RL</t>
  </si>
  <si>
    <t>RT0402BRD072K87L</t>
  </si>
  <si>
    <t>RC0402FR-0747KL</t>
  </si>
  <si>
    <t>PA1206FRE470R01Z</t>
  </si>
  <si>
    <t>0603WAF6812T5E</t>
  </si>
  <si>
    <t>CRCW04024K12FKED</t>
  </si>
  <si>
    <t>RT0603BRD072K61L</t>
  </si>
  <si>
    <t>MIMXRT1062DVJ6B</t>
  </si>
  <si>
    <t>W25Q64JVSSIM</t>
  </si>
  <si>
    <t>UM803RS</t>
  </si>
  <si>
    <t>M24C64-FMC6TG</t>
  </si>
  <si>
    <t>DRV8874PWPR</t>
  </si>
  <si>
    <t>AP63203WU-7</t>
  </si>
  <si>
    <t>BD4860FVE-TR</t>
  </si>
  <si>
    <t>AZ1117CH-3.3TRG1</t>
  </si>
  <si>
    <t>LM25085MM/NOPB</t>
  </si>
  <si>
    <t>X322524MOB4SI</t>
  </si>
  <si>
    <t>NX3215SA-32.768K-STD-MUA-8</t>
  </si>
  <si>
    <t>Manufacturer</t>
  </si>
  <si>
    <t>Yageo</t>
  </si>
  <si>
    <t>TDK</t>
  </si>
  <si>
    <t>Murata</t>
  </si>
  <si>
    <t>Samsung</t>
  </si>
  <si>
    <t>Vishay Sprague</t>
  </si>
  <si>
    <t>Taiyo Yuden</t>
  </si>
  <si>
    <t>FH (Guangdong Fenghua Advanced Tech)</t>
  </si>
  <si>
    <t>Hunan Xiangyee in S&amp;T</t>
  </si>
  <si>
    <t>Nexperia</t>
  </si>
  <si>
    <t>ON Semiconductor / Fairchild</t>
  </si>
  <si>
    <t>WILLSEMI</t>
  </si>
  <si>
    <t>Diodes</t>
  </si>
  <si>
    <t>TECHFUSE</t>
  </si>
  <si>
    <t>XFCN</t>
  </si>
  <si>
    <t>Amphenol FCI</t>
  </si>
  <si>
    <t>Shenzhen Kinghelm Elec</t>
  </si>
  <si>
    <t>BOOMELE</t>
  </si>
  <si>
    <t>HanElectricity</t>
  </si>
  <si>
    <t>Sunlord</t>
  </si>
  <si>
    <t>Coilcraft</t>
  </si>
  <si>
    <t>XINGLIGHT</t>
  </si>
  <si>
    <t>Guangdong Hottech</t>
  </si>
  <si>
    <t>TECH PUBLIC</t>
  </si>
  <si>
    <t>Texas Instruments</t>
  </si>
  <si>
    <t>Royal Electronic Factory</t>
  </si>
  <si>
    <t>Vishay Dale</t>
  </si>
  <si>
    <t>Uniroyal</t>
  </si>
  <si>
    <t>Vishay</t>
  </si>
  <si>
    <t>Omron</t>
  </si>
  <si>
    <t>DongGuan</t>
  </si>
  <si>
    <t>NXP Semiconductors</t>
  </si>
  <si>
    <t>Winbond</t>
  </si>
  <si>
    <t>Union Semiconductor</t>
  </si>
  <si>
    <t>STMicroelectronics</t>
  </si>
  <si>
    <t>Rohm</t>
  </si>
  <si>
    <t>Diodes Incorporated</t>
  </si>
  <si>
    <t>TI National Semiconductor</t>
  </si>
  <si>
    <t>Yangxing Tech</t>
  </si>
  <si>
    <t>NDK</t>
  </si>
  <si>
    <t>1uF</t>
  </si>
  <si>
    <t>0.22uF</t>
  </si>
  <si>
    <t>4.7uF</t>
  </si>
  <si>
    <t>100nF</t>
  </si>
  <si>
    <t>22uF</t>
  </si>
  <si>
    <t>12pF</t>
  </si>
  <si>
    <t>33uF</t>
  </si>
  <si>
    <t>10uF</t>
  </si>
  <si>
    <t>47uF</t>
  </si>
  <si>
    <t>22nF</t>
  </si>
  <si>
    <t>1nF</t>
  </si>
  <si>
    <t>470nF</t>
  </si>
  <si>
    <t>3nF</t>
  </si>
  <si>
    <t>4.7uH</t>
  </si>
  <si>
    <t>3.9uH</t>
  </si>
  <si>
    <t>1uH</t>
  </si>
  <si>
    <t>Orange</t>
  </si>
  <si>
    <t>100K</t>
  </si>
  <si>
    <t>30K</t>
  </si>
  <si>
    <t>0R</t>
  </si>
  <si>
    <t>4.3k</t>
  </si>
  <si>
    <t>1K</t>
  </si>
  <si>
    <t>DNP</t>
  </si>
  <si>
    <t>4.7K</t>
  </si>
  <si>
    <t>1M</t>
  </si>
  <si>
    <t>3.16K</t>
  </si>
  <si>
    <t>130R</t>
  </si>
  <si>
    <t>2.87k</t>
  </si>
  <si>
    <t>47K</t>
  </si>
  <si>
    <t>10mR</t>
  </si>
  <si>
    <t>68.1K</t>
  </si>
  <si>
    <t>4.12K</t>
  </si>
  <si>
    <t>10K</t>
  </si>
  <si>
    <t>2.61k</t>
  </si>
  <si>
    <t>24MHZ</t>
  </si>
  <si>
    <t>32.7680KHZ</t>
  </si>
  <si>
    <t>Quantity</t>
  </si>
  <si>
    <t>LED</t>
  </si>
  <si>
    <t>Value</t>
  </si>
  <si>
    <t>Remarks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</si>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</sst>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0"/>
  <sheetViews>
    <sheetView tabSelected="1" topLeftCell="A22" zoomScale="85" zoomScaleNormal="85" workbookViewId="0">
      <selection activeCell="N8" sqref="N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87</v>
      </c>
      <c r="F2" s="5" t="s">
        <v>154</v>
      </c>
      <c r="G2" s="6" t="s">
        <v>198</v>
      </c>
      <c r="H2" s="5" t="s">
        <v>260</v>
      </c>
      <c r="I2" s="6" t="s">
        <v>338</v>
      </c>
      <c r="J2" s="5" t="s">
        <v>336</v>
      </c>
      <c r="K2" s="5" t="s">
        <v>339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19</v>
      </c>
      <c r="E3" s="8" t="s">
        <v>88</v>
      </c>
      <c r="F3" s="7" t="s">
        <v>155</v>
      </c>
      <c r="G3" s="8" t="s">
        <v>199</v>
      </c>
      <c r="H3" s="7" t="s">
        <v>261</v>
      </c>
      <c r="I3" s="8" t="s">
        <v>300</v>
      </c>
      <c r="J3" s="7">
        <v>4</v>
      </c>
      <c r="K3" s="7"/>
    </row>
    <row r="4" spans="1:11" ht="24.75" thickBot="1" x14ac:dyDescent="0.3">
      <c r="A4" s="1"/>
      <c r="B4" s="11">
        <f t="shared" ref="B4:B70" si="0">ROW(B4) - ROW($B$2)</f>
        <v>2</v>
      </c>
      <c r="C4" s="12" t="s">
        <v>2</v>
      </c>
      <c r="D4" s="9" t="s">
        <v>20</v>
      </c>
      <c r="E4" s="10" t="s">
        <v>89</v>
      </c>
      <c r="F4" s="9" t="s">
        <v>155</v>
      </c>
      <c r="G4" s="10" t="s">
        <v>200</v>
      </c>
      <c r="H4" s="9" t="s">
        <v>261</v>
      </c>
      <c r="I4" s="10" t="s">
        <v>301</v>
      </c>
      <c r="J4" s="9">
        <v>20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90</v>
      </c>
      <c r="F5" s="7" t="s">
        <v>155</v>
      </c>
      <c r="G5" s="8" t="s">
        <v>201</v>
      </c>
      <c r="H5" s="7" t="s">
        <v>261</v>
      </c>
      <c r="I5" s="8" t="s">
        <v>302</v>
      </c>
      <c r="J5" s="7">
        <v>9</v>
      </c>
      <c r="K5" s="7"/>
    </row>
    <row r="6" spans="1:11" ht="36.75" thickBot="1" x14ac:dyDescent="0.3">
      <c r="A6" s="1"/>
      <c r="B6" s="11">
        <f t="shared" si="0"/>
        <v>4</v>
      </c>
      <c r="C6" s="13" t="s">
        <v>2</v>
      </c>
      <c r="D6" s="9" t="s">
        <v>22</v>
      </c>
      <c r="E6" s="10" t="s">
        <v>91</v>
      </c>
      <c r="F6" s="9" t="s">
        <v>156</v>
      </c>
      <c r="G6" s="10" t="s">
        <v>202</v>
      </c>
      <c r="H6" s="9" t="s">
        <v>262</v>
      </c>
      <c r="I6" s="10" t="s">
        <v>303</v>
      </c>
      <c r="J6" s="9">
        <v>27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23</v>
      </c>
      <c r="E7" s="8" t="s">
        <v>92</v>
      </c>
      <c r="F7" s="7" t="s">
        <v>157</v>
      </c>
      <c r="G7" s="8" t="s">
        <v>203</v>
      </c>
      <c r="H7" s="7" t="s">
        <v>261</v>
      </c>
      <c r="I7" s="8" t="s">
        <v>304</v>
      </c>
      <c r="J7" s="7">
        <v>5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24</v>
      </c>
      <c r="E8" s="10" t="s">
        <v>93</v>
      </c>
      <c r="F8" s="9" t="s">
        <v>155</v>
      </c>
      <c r="G8" s="10" t="s">
        <v>204</v>
      </c>
      <c r="H8" s="9" t="s">
        <v>263</v>
      </c>
      <c r="I8" s="10" t="s">
        <v>305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25</v>
      </c>
      <c r="E9" s="8" t="s">
        <v>94</v>
      </c>
      <c r="F9" s="7" t="s">
        <v>158</v>
      </c>
      <c r="G9" s="8" t="s">
        <v>205</v>
      </c>
      <c r="H9" s="7" t="s">
        <v>262</v>
      </c>
      <c r="I9" s="8" t="s">
        <v>306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26</v>
      </c>
      <c r="E10" s="10" t="s">
        <v>95</v>
      </c>
      <c r="F10" s="9" t="s">
        <v>157</v>
      </c>
      <c r="G10" s="10" t="s">
        <v>206</v>
      </c>
      <c r="H10" s="9" t="s">
        <v>264</v>
      </c>
      <c r="I10" s="10" t="s">
        <v>307</v>
      </c>
      <c r="J10" s="9">
        <v>3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27</v>
      </c>
      <c r="E11" s="8" t="s">
        <v>96</v>
      </c>
      <c r="F11" s="7" t="s">
        <v>159</v>
      </c>
      <c r="G11" s="8" t="s">
        <v>207</v>
      </c>
      <c r="H11" s="7" t="s">
        <v>265</v>
      </c>
      <c r="I11" s="8" t="s">
        <v>308</v>
      </c>
      <c r="J11" s="7">
        <v>6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28</v>
      </c>
      <c r="E12" s="10" t="s">
        <v>97</v>
      </c>
      <c r="F12" s="9" t="s">
        <v>155</v>
      </c>
      <c r="G12" s="10" t="s">
        <v>208</v>
      </c>
      <c r="H12" s="9" t="s">
        <v>261</v>
      </c>
      <c r="I12" s="10" t="s">
        <v>309</v>
      </c>
      <c r="J12" s="9">
        <v>6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29</v>
      </c>
      <c r="E13" s="8" t="s">
        <v>98</v>
      </c>
      <c r="F13" s="7" t="s">
        <v>160</v>
      </c>
      <c r="G13" s="8" t="s">
        <v>209</v>
      </c>
      <c r="H13" s="7" t="s">
        <v>261</v>
      </c>
      <c r="I13" s="8" t="s">
        <v>310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30</v>
      </c>
      <c r="E14" s="10" t="s">
        <v>99</v>
      </c>
      <c r="F14" s="9" t="s">
        <v>155</v>
      </c>
      <c r="G14" s="10" t="s">
        <v>210</v>
      </c>
      <c r="H14" s="9" t="s">
        <v>261</v>
      </c>
      <c r="I14" s="10" t="s">
        <v>311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3" t="s">
        <v>2</v>
      </c>
      <c r="D15" s="7" t="s">
        <v>31</v>
      </c>
      <c r="E15" s="8" t="s">
        <v>100</v>
      </c>
      <c r="F15" s="7" t="s">
        <v>157</v>
      </c>
      <c r="G15" s="8" t="s">
        <v>211</v>
      </c>
      <c r="H15" s="7" t="s">
        <v>264</v>
      </c>
      <c r="I15" s="8" t="s">
        <v>310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32</v>
      </c>
      <c r="E16" s="10" t="s">
        <v>101</v>
      </c>
      <c r="F16" s="9" t="s">
        <v>161</v>
      </c>
      <c r="G16" s="10" t="s">
        <v>212</v>
      </c>
      <c r="H16" s="9" t="s">
        <v>266</v>
      </c>
      <c r="I16" s="10" t="s">
        <v>308</v>
      </c>
      <c r="J16" s="9">
        <v>2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2</v>
      </c>
      <c r="D17" s="7" t="s">
        <v>33</v>
      </c>
      <c r="E17" s="8" t="s">
        <v>102</v>
      </c>
      <c r="F17" s="7" t="s">
        <v>155</v>
      </c>
      <c r="G17" s="8" t="s">
        <v>213</v>
      </c>
      <c r="H17" s="7" t="s">
        <v>267</v>
      </c>
      <c r="I17" s="8" t="s">
        <v>312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2</v>
      </c>
      <c r="D18" s="9" t="s">
        <v>34</v>
      </c>
      <c r="E18" s="10" t="s">
        <v>103</v>
      </c>
      <c r="F18" s="9" t="s">
        <v>162</v>
      </c>
      <c r="G18" s="10" t="s">
        <v>214</v>
      </c>
      <c r="H18" s="9" t="s">
        <v>268</v>
      </c>
      <c r="I18" s="10" t="s">
        <v>308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35</v>
      </c>
      <c r="E19" s="8" t="s">
        <v>104</v>
      </c>
      <c r="F19" s="7" t="s">
        <v>163</v>
      </c>
      <c r="G19" s="8" t="s">
        <v>215</v>
      </c>
      <c r="H19" s="7" t="s">
        <v>269</v>
      </c>
      <c r="I19" s="8" t="s">
        <v>340</v>
      </c>
      <c r="J19" s="7">
        <v>3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3</v>
      </c>
      <c r="D20" s="9" t="s">
        <v>36</v>
      </c>
      <c r="E20" s="10" t="s">
        <v>105</v>
      </c>
      <c r="F20" s="9" t="s">
        <v>164</v>
      </c>
      <c r="G20" s="10" t="s">
        <v>216</v>
      </c>
      <c r="H20" s="9" t="s">
        <v>270</v>
      </c>
      <c r="I20" s="10" t="s">
        <v>340</v>
      </c>
      <c r="J20" s="9">
        <v>2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3</v>
      </c>
      <c r="D21" s="7" t="s">
        <v>37</v>
      </c>
      <c r="E21" s="8" t="s">
        <v>106</v>
      </c>
      <c r="F21" s="7" t="s">
        <v>165</v>
      </c>
      <c r="G21" s="8" t="s">
        <v>217</v>
      </c>
      <c r="H21" s="7" t="s">
        <v>271</v>
      </c>
      <c r="I21" s="8" t="s">
        <v>340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3</v>
      </c>
      <c r="D22" s="9" t="s">
        <v>38</v>
      </c>
      <c r="E22" s="10" t="s">
        <v>107</v>
      </c>
      <c r="F22" s="9" t="s">
        <v>166</v>
      </c>
      <c r="G22" s="10" t="s">
        <v>218</v>
      </c>
      <c r="H22" s="9" t="s">
        <v>269</v>
      </c>
      <c r="I22" s="10" t="s">
        <v>340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3</v>
      </c>
      <c r="D23" s="7" t="s">
        <v>39</v>
      </c>
      <c r="E23" s="8" t="s">
        <v>108</v>
      </c>
      <c r="F23" s="7" t="s">
        <v>167</v>
      </c>
      <c r="G23" s="8" t="s">
        <v>219</v>
      </c>
      <c r="H23" s="7" t="s">
        <v>272</v>
      </c>
      <c r="I23" s="8" t="s">
        <v>340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4</v>
      </c>
      <c r="D24" s="9" t="s">
        <v>40</v>
      </c>
      <c r="E24" s="10" t="s">
        <v>109</v>
      </c>
      <c r="F24" s="9" t="s">
        <v>168</v>
      </c>
      <c r="G24" s="10" t="s">
        <v>220</v>
      </c>
      <c r="H24" s="9" t="s">
        <v>273</v>
      </c>
      <c r="I24" s="10" t="s">
        <v>340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5</v>
      </c>
      <c r="D25" s="7" t="s">
        <v>41</v>
      </c>
      <c r="E25" s="8" t="s">
        <v>110</v>
      </c>
      <c r="F25" s="7" t="s">
        <v>169</v>
      </c>
      <c r="G25" s="8" t="s">
        <v>221</v>
      </c>
      <c r="H25" s="7" t="s">
        <v>263</v>
      </c>
      <c r="I25" s="8" t="s">
        <v>340</v>
      </c>
      <c r="J25" s="7">
        <v>2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7</v>
      </c>
      <c r="D26" s="9" t="s">
        <v>42</v>
      </c>
      <c r="E26" s="10" t="s">
        <v>111</v>
      </c>
      <c r="F26" s="9" t="s">
        <v>170</v>
      </c>
      <c r="G26" s="10" t="s">
        <v>222</v>
      </c>
      <c r="H26" s="9" t="s">
        <v>274</v>
      </c>
      <c r="I26" s="10" t="s">
        <v>340</v>
      </c>
      <c r="J26" s="9">
        <v>6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6</v>
      </c>
      <c r="D27" s="7" t="s">
        <v>43</v>
      </c>
      <c r="E27" s="8" t="s">
        <v>112</v>
      </c>
      <c r="F27" s="7" t="s">
        <v>171</v>
      </c>
      <c r="G27" s="8" t="s">
        <v>223</v>
      </c>
      <c r="H27" s="7" t="s">
        <v>275</v>
      </c>
      <c r="I27" s="8" t="s">
        <v>340</v>
      </c>
      <c r="J27" s="7">
        <v>1</v>
      </c>
      <c r="K27" s="7"/>
    </row>
    <row r="28" spans="1:11" ht="48.75" thickBot="1" x14ac:dyDescent="0.3">
      <c r="A28" s="1"/>
      <c r="B28" s="11">
        <f t="shared" si="0"/>
        <v>26</v>
      </c>
      <c r="C28" s="13" t="s">
        <v>7</v>
      </c>
      <c r="D28" s="9" t="s">
        <v>44</v>
      </c>
      <c r="E28" s="10" t="s">
        <v>113</v>
      </c>
      <c r="F28" s="9" t="s">
        <v>172</v>
      </c>
      <c r="G28" s="10" t="s">
        <v>224</v>
      </c>
      <c r="H28" s="9" t="s">
        <v>276</v>
      </c>
      <c r="I28" s="10" t="s">
        <v>340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8</v>
      </c>
      <c r="D29" s="7" t="s">
        <v>45</v>
      </c>
      <c r="E29" s="8" t="s">
        <v>114</v>
      </c>
      <c r="F29" s="7" t="s">
        <v>173</v>
      </c>
      <c r="G29" s="8" t="s">
        <v>225</v>
      </c>
      <c r="H29" s="7" t="s">
        <v>275</v>
      </c>
      <c r="I29" s="8" t="s">
        <v>340</v>
      </c>
      <c r="J29" s="7">
        <v>1</v>
      </c>
      <c r="K29" s="7"/>
    </row>
    <row r="30" spans="1:11" ht="48.75" thickBot="1" x14ac:dyDescent="0.3">
      <c r="A30" s="1"/>
      <c r="B30" s="11">
        <f t="shared" si="0"/>
        <v>28</v>
      </c>
      <c r="C30" s="13" t="s">
        <v>9</v>
      </c>
      <c r="D30" s="9" t="s">
        <v>46</v>
      </c>
      <c r="E30" s="10" t="s">
        <v>115</v>
      </c>
      <c r="F30" s="9" t="s">
        <v>174</v>
      </c>
      <c r="G30" s="10" t="s">
        <v>226</v>
      </c>
      <c r="H30" s="9" t="s">
        <v>277</v>
      </c>
      <c r="I30" s="10" t="s">
        <v>340</v>
      </c>
      <c r="J30" s="9">
        <v>2</v>
      </c>
      <c r="K30" s="9"/>
    </row>
    <row r="31" spans="1:11" ht="48.75" thickBot="1" x14ac:dyDescent="0.3">
      <c r="A31" s="1"/>
      <c r="B31" s="11">
        <f>ROW(B31) - ROW($B$2)</f>
        <v>29</v>
      </c>
      <c r="C31" s="12" t="s">
        <v>7</v>
      </c>
      <c r="D31" s="7" t="s">
        <v>47</v>
      </c>
      <c r="E31" s="8" t="s">
        <v>116</v>
      </c>
      <c r="F31" s="7" t="s">
        <v>175</v>
      </c>
      <c r="G31" s="8" t="s">
        <v>227</v>
      </c>
      <c r="H31" s="7" t="s">
        <v>278</v>
      </c>
      <c r="I31" s="8" t="s">
        <v>340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10</v>
      </c>
      <c r="D32" s="9" t="s">
        <v>48</v>
      </c>
      <c r="E32" s="10" t="s">
        <v>117</v>
      </c>
      <c r="F32" s="9" t="s">
        <v>176</v>
      </c>
      <c r="G32" s="10" t="s">
        <v>228</v>
      </c>
      <c r="H32" s="9" t="s">
        <v>263</v>
      </c>
      <c r="I32" s="10" t="s">
        <v>313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10</v>
      </c>
      <c r="D33" s="7" t="s">
        <v>49</v>
      </c>
      <c r="E33" s="8" t="s">
        <v>118</v>
      </c>
      <c r="F33" s="7" t="s">
        <v>177</v>
      </c>
      <c r="G33" s="8" t="s">
        <v>177</v>
      </c>
      <c r="H33" s="7" t="s">
        <v>279</v>
      </c>
      <c r="I33" s="8" t="s">
        <v>314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10</v>
      </c>
      <c r="D34" s="9" t="s">
        <v>50</v>
      </c>
      <c r="E34" s="10" t="s">
        <v>119</v>
      </c>
      <c r="F34" s="9" t="s">
        <v>178</v>
      </c>
      <c r="G34" s="10" t="s">
        <v>178</v>
      </c>
      <c r="H34" s="9" t="s">
        <v>280</v>
      </c>
      <c r="I34" s="10" t="s">
        <v>315</v>
      </c>
      <c r="J34" s="9">
        <v>1</v>
      </c>
      <c r="K34" s="9"/>
    </row>
    <row r="35" spans="1:11" ht="48.75" thickBot="1" x14ac:dyDescent="0.3">
      <c r="A35" s="1"/>
      <c r="B35" s="11">
        <f>ROW(B35) - ROW($B$2)</f>
        <v>33</v>
      </c>
      <c r="C35" s="12" t="s">
        <v>337</v>
      </c>
      <c r="D35" s="7" t="s">
        <v>51</v>
      </c>
      <c r="E35" s="8" t="s">
        <v>120</v>
      </c>
      <c r="F35" s="7" t="s">
        <v>179</v>
      </c>
      <c r="G35" s="8"/>
      <c r="H35" s="7" t="s">
        <v>281</v>
      </c>
      <c r="I35" s="8" t="s">
        <v>316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11</v>
      </c>
      <c r="D36" s="9" t="s">
        <v>52</v>
      </c>
      <c r="E36" s="10" t="s">
        <v>121</v>
      </c>
      <c r="F36" s="9" t="s">
        <v>180</v>
      </c>
      <c r="G36" s="10" t="s">
        <v>229</v>
      </c>
      <c r="H36" s="9" t="s">
        <v>282</v>
      </c>
      <c r="I36" s="10" t="s">
        <v>340</v>
      </c>
      <c r="J36" s="9">
        <v>1</v>
      </c>
      <c r="K36" s="9"/>
    </row>
    <row r="37" spans="1:11" ht="48.75" thickBot="1" x14ac:dyDescent="0.3">
      <c r="A37" s="1"/>
      <c r="B37" s="11">
        <f>ROW(B37) - ROW($B$2)</f>
        <v>35</v>
      </c>
      <c r="C37" s="12" t="s">
        <v>11</v>
      </c>
      <c r="D37" s="7" t="s">
        <v>53</v>
      </c>
      <c r="E37" s="8" t="s">
        <v>122</v>
      </c>
      <c r="F37" s="7" t="s">
        <v>181</v>
      </c>
      <c r="G37" s="8" t="s">
        <v>230</v>
      </c>
      <c r="H37" s="7" t="s">
        <v>283</v>
      </c>
      <c r="I37" s="8" t="s">
        <v>340</v>
      </c>
      <c r="J37" s="7">
        <v>2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12</v>
      </c>
      <c r="D38" s="9" t="s">
        <v>54</v>
      </c>
      <c r="E38" s="10" t="s">
        <v>123</v>
      </c>
      <c r="F38" s="9" t="s">
        <v>182</v>
      </c>
      <c r="G38" s="10" t="s">
        <v>231</v>
      </c>
      <c r="H38" s="9" t="s">
        <v>284</v>
      </c>
      <c r="I38" s="10" t="s">
        <v>340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13</v>
      </c>
      <c r="D39" s="7" t="s">
        <v>55</v>
      </c>
      <c r="E39" s="8" t="s">
        <v>124</v>
      </c>
      <c r="F39" s="7" t="s">
        <v>183</v>
      </c>
      <c r="G39" s="8" t="s">
        <v>232</v>
      </c>
      <c r="H39" s="7" t="s">
        <v>261</v>
      </c>
      <c r="I39" s="8" t="s">
        <v>317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2" t="s">
        <v>13</v>
      </c>
      <c r="D40" s="9" t="s">
        <v>56</v>
      </c>
      <c r="E40" s="10" t="s">
        <v>125</v>
      </c>
      <c r="F40" s="9" t="s">
        <v>183</v>
      </c>
      <c r="G40" s="10" t="s">
        <v>233</v>
      </c>
      <c r="H40" s="9" t="s">
        <v>261</v>
      </c>
      <c r="I40" s="10" t="s">
        <v>318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13</v>
      </c>
      <c r="D41" s="7" t="s">
        <v>57</v>
      </c>
      <c r="E41" s="8" t="s">
        <v>126</v>
      </c>
      <c r="F41" s="7" t="s">
        <v>183</v>
      </c>
      <c r="G41" s="8" t="s">
        <v>234</v>
      </c>
      <c r="H41" s="7" t="s">
        <v>261</v>
      </c>
      <c r="I41" s="8" t="s">
        <v>319</v>
      </c>
      <c r="J41" s="7">
        <v>6</v>
      </c>
      <c r="K41" s="7"/>
    </row>
    <row r="42" spans="1:11" ht="36.75" thickBot="1" x14ac:dyDescent="0.3">
      <c r="A42" s="1"/>
      <c r="B42" s="11">
        <f t="shared" si="0"/>
        <v>40</v>
      </c>
      <c r="C42" s="12" t="s">
        <v>13</v>
      </c>
      <c r="D42" s="9" t="s">
        <v>58</v>
      </c>
      <c r="E42" s="10" t="s">
        <v>127</v>
      </c>
      <c r="F42" s="9" t="s">
        <v>183</v>
      </c>
      <c r="G42" s="10" t="s">
        <v>235</v>
      </c>
      <c r="H42" s="9" t="s">
        <v>285</v>
      </c>
      <c r="I42" s="10" t="s">
        <v>320</v>
      </c>
      <c r="J42" s="9">
        <v>6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13</v>
      </c>
      <c r="D43" s="7" t="s">
        <v>59</v>
      </c>
      <c r="E43" s="8" t="s">
        <v>128</v>
      </c>
      <c r="F43" s="7" t="s">
        <v>183</v>
      </c>
      <c r="G43" s="8" t="s">
        <v>236</v>
      </c>
      <c r="H43" s="7" t="s">
        <v>286</v>
      </c>
      <c r="I43" s="8" t="s">
        <v>321</v>
      </c>
      <c r="J43" s="7">
        <v>6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13</v>
      </c>
      <c r="D44" s="9" t="s">
        <v>60</v>
      </c>
      <c r="E44" s="10" t="s">
        <v>129</v>
      </c>
      <c r="F44" s="9" t="s">
        <v>183</v>
      </c>
      <c r="G44" s="10" t="s">
        <v>237</v>
      </c>
      <c r="H44" s="9" t="s">
        <v>261</v>
      </c>
      <c r="I44" s="10" t="s">
        <v>322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13</v>
      </c>
      <c r="D45" s="7" t="s">
        <v>61</v>
      </c>
      <c r="E45" s="8" t="s">
        <v>130</v>
      </c>
      <c r="F45" s="7" t="s">
        <v>184</v>
      </c>
      <c r="G45" s="8" t="s">
        <v>238</v>
      </c>
      <c r="H45" s="7" t="s">
        <v>261</v>
      </c>
      <c r="I45" s="8" t="s">
        <v>321</v>
      </c>
      <c r="J45" s="7">
        <v>11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13</v>
      </c>
      <c r="D46" s="9" t="s">
        <v>62</v>
      </c>
      <c r="E46" s="10" t="s">
        <v>131</v>
      </c>
      <c r="F46" s="9" t="s">
        <v>184</v>
      </c>
      <c r="G46" s="10" t="s">
        <v>239</v>
      </c>
      <c r="H46" s="9" t="s">
        <v>261</v>
      </c>
      <c r="I46" s="10" t="s">
        <v>323</v>
      </c>
      <c r="J46" s="9">
        <v>2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13</v>
      </c>
      <c r="D47" s="7" t="s">
        <v>63</v>
      </c>
      <c r="E47" s="8" t="s">
        <v>132</v>
      </c>
      <c r="F47" s="7" t="s">
        <v>184</v>
      </c>
      <c r="G47" s="8" t="s">
        <v>240</v>
      </c>
      <c r="H47" s="7" t="s">
        <v>261</v>
      </c>
      <c r="I47" s="8" t="s">
        <v>324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13</v>
      </c>
      <c r="D48" s="9" t="s">
        <v>64</v>
      </c>
      <c r="E48" s="10" t="s">
        <v>133</v>
      </c>
      <c r="F48" s="9" t="s">
        <v>184</v>
      </c>
      <c r="G48" s="10" t="s">
        <v>241</v>
      </c>
      <c r="H48" s="9" t="s">
        <v>261</v>
      </c>
      <c r="I48" s="10" t="s">
        <v>325</v>
      </c>
      <c r="J48" s="9">
        <v>6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13</v>
      </c>
      <c r="D49" s="7" t="s">
        <v>65</v>
      </c>
      <c r="E49" s="8" t="s">
        <v>134</v>
      </c>
      <c r="F49" s="7" t="s">
        <v>184</v>
      </c>
      <c r="G49" s="8" t="s">
        <v>242</v>
      </c>
      <c r="H49" s="7" t="s">
        <v>261</v>
      </c>
      <c r="I49" s="8" t="s">
        <v>326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13</v>
      </c>
      <c r="D50" s="9" t="s">
        <v>66</v>
      </c>
      <c r="E50" s="10" t="s">
        <v>135</v>
      </c>
      <c r="F50" s="9" t="s">
        <v>183</v>
      </c>
      <c r="G50" s="10" t="s">
        <v>243</v>
      </c>
      <c r="H50" s="9" t="s">
        <v>261</v>
      </c>
      <c r="I50" s="10" t="s">
        <v>327</v>
      </c>
      <c r="J50" s="9">
        <v>5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13</v>
      </c>
      <c r="D51" s="7" t="s">
        <v>67</v>
      </c>
      <c r="E51" s="8" t="s">
        <v>136</v>
      </c>
      <c r="F51" s="7" t="s">
        <v>183</v>
      </c>
      <c r="G51" s="8" t="s">
        <v>244</v>
      </c>
      <c r="H51" s="7" t="s">
        <v>261</v>
      </c>
      <c r="I51" s="8" t="s">
        <v>328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13</v>
      </c>
      <c r="D52" s="9" t="s">
        <v>68</v>
      </c>
      <c r="E52" s="10" t="s">
        <v>137</v>
      </c>
      <c r="F52" s="9" t="s">
        <v>185</v>
      </c>
      <c r="G52" s="10" t="s">
        <v>245</v>
      </c>
      <c r="H52" s="9" t="s">
        <v>261</v>
      </c>
      <c r="I52" s="10" t="s">
        <v>329</v>
      </c>
      <c r="J52" s="9">
        <v>1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13</v>
      </c>
      <c r="D53" s="7" t="s">
        <v>69</v>
      </c>
      <c r="E53" s="8" t="s">
        <v>138</v>
      </c>
      <c r="F53" s="7" t="s">
        <v>184</v>
      </c>
      <c r="G53" s="8" t="s">
        <v>246</v>
      </c>
      <c r="H53" s="7" t="s">
        <v>287</v>
      </c>
      <c r="I53" s="8" t="s">
        <v>330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13</v>
      </c>
      <c r="D54" s="9" t="s">
        <v>70</v>
      </c>
      <c r="E54" s="10" t="s">
        <v>139</v>
      </c>
      <c r="F54" s="9" t="s">
        <v>183</v>
      </c>
      <c r="G54" s="10" t="s">
        <v>247</v>
      </c>
      <c r="H54" s="9" t="s">
        <v>288</v>
      </c>
      <c r="I54" s="10" t="s">
        <v>331</v>
      </c>
      <c r="J54" s="9">
        <v>1</v>
      </c>
      <c r="K54" s="9"/>
    </row>
    <row r="55" spans="1:11" ht="36.75" thickBot="1" x14ac:dyDescent="0.3">
      <c r="A55" s="1"/>
      <c r="B55" s="11">
        <f>ROW(B55) - ROW($B$2)</f>
        <v>53</v>
      </c>
      <c r="C55" s="12" t="s">
        <v>13</v>
      </c>
      <c r="D55" s="7" t="s">
        <v>71</v>
      </c>
      <c r="E55" s="8" t="s">
        <v>129</v>
      </c>
      <c r="F55" s="7" t="s">
        <v>183</v>
      </c>
      <c r="G55" s="8" t="s">
        <v>237</v>
      </c>
      <c r="H55" s="7" t="s">
        <v>261</v>
      </c>
      <c r="I55" s="8" t="s">
        <v>332</v>
      </c>
      <c r="J55" s="7">
        <v>22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13</v>
      </c>
      <c r="D56" s="9" t="s">
        <v>72</v>
      </c>
      <c r="E56" s="10" t="s">
        <v>140</v>
      </c>
      <c r="F56" s="9" t="s">
        <v>184</v>
      </c>
      <c r="G56" s="10" t="s">
        <v>248</v>
      </c>
      <c r="H56" s="9" t="s">
        <v>261</v>
      </c>
      <c r="I56" s="10" t="s">
        <v>333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3" t="s">
        <v>13</v>
      </c>
      <c r="D57" s="7" t="s">
        <v>73</v>
      </c>
      <c r="E57" s="8" t="s">
        <v>126</v>
      </c>
      <c r="F57" s="7" t="s">
        <v>183</v>
      </c>
      <c r="G57" s="8" t="s">
        <v>234</v>
      </c>
      <c r="H57" s="7" t="s">
        <v>261</v>
      </c>
      <c r="I57" s="8" t="s">
        <v>322</v>
      </c>
      <c r="J57" s="7">
        <v>9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14</v>
      </c>
      <c r="D58" s="9" t="s">
        <v>74</v>
      </c>
      <c r="E58" s="10" t="s">
        <v>141</v>
      </c>
      <c r="F58" s="9" t="s">
        <v>186</v>
      </c>
      <c r="G58" s="10" t="s">
        <v>186</v>
      </c>
      <c r="H58" s="9" t="s">
        <v>289</v>
      </c>
      <c r="I58" s="10" t="s">
        <v>340</v>
      </c>
      <c r="J58" s="9">
        <v>3</v>
      </c>
      <c r="K58" s="9"/>
    </row>
    <row r="59" spans="1:11" ht="36.75" thickBot="1" x14ac:dyDescent="0.3">
      <c r="A59" s="1"/>
      <c r="B59" s="11">
        <f>ROW(B59) - ROW($B$2)</f>
        <v>57</v>
      </c>
      <c r="C59" s="12" t="s">
        <v>15</v>
      </c>
      <c r="D59" s="7" t="s">
        <v>75</v>
      </c>
      <c r="E59" s="8" t="s">
        <v>142</v>
      </c>
      <c r="F59" s="7" t="s">
        <v>187</v>
      </c>
      <c r="G59" s="8" t="s">
        <v>187</v>
      </c>
      <c r="H59" s="7" t="s">
        <v>290</v>
      </c>
      <c r="I59" s="8" t="s">
        <v>340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16</v>
      </c>
      <c r="D60" s="9" t="s">
        <v>76</v>
      </c>
      <c r="E60" s="10" t="s">
        <v>143</v>
      </c>
      <c r="F60" s="9" t="s">
        <v>188</v>
      </c>
      <c r="G60" s="10" t="s">
        <v>249</v>
      </c>
      <c r="H60" s="9" t="s">
        <v>291</v>
      </c>
      <c r="I60" s="10" t="s">
        <v>340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16</v>
      </c>
      <c r="D61" s="7" t="s">
        <v>77</v>
      </c>
      <c r="E61" s="8" t="s">
        <v>144</v>
      </c>
      <c r="F61" s="7" t="s">
        <v>189</v>
      </c>
      <c r="G61" s="8" t="s">
        <v>250</v>
      </c>
      <c r="H61" s="7" t="s">
        <v>292</v>
      </c>
      <c r="I61" s="8" t="s">
        <v>340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16</v>
      </c>
      <c r="D62" s="9" t="s">
        <v>78</v>
      </c>
      <c r="E62" s="10" t="s">
        <v>145</v>
      </c>
      <c r="F62" s="9" t="s">
        <v>180</v>
      </c>
      <c r="G62" s="10" t="s">
        <v>251</v>
      </c>
      <c r="H62" s="9" t="s">
        <v>293</v>
      </c>
      <c r="I62" s="10" t="s">
        <v>340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16</v>
      </c>
      <c r="D63" s="7" t="s">
        <v>79</v>
      </c>
      <c r="E63" s="8" t="s">
        <v>146</v>
      </c>
      <c r="F63" s="7" t="s">
        <v>190</v>
      </c>
      <c r="G63" s="8" t="s">
        <v>252</v>
      </c>
      <c r="H63" s="7" t="s">
        <v>294</v>
      </c>
      <c r="I63" s="8" t="s">
        <v>340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16</v>
      </c>
      <c r="D64" s="9" t="s">
        <v>80</v>
      </c>
      <c r="E64" s="10" t="s">
        <v>147</v>
      </c>
      <c r="F64" s="9" t="s">
        <v>191</v>
      </c>
      <c r="G64" s="10" t="s">
        <v>253</v>
      </c>
      <c r="H64" s="9" t="s">
        <v>284</v>
      </c>
      <c r="I64" s="10" t="s">
        <v>340</v>
      </c>
      <c r="J64" s="9">
        <v>6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16</v>
      </c>
      <c r="D65" s="7" t="s">
        <v>81</v>
      </c>
      <c r="E65" s="8" t="s">
        <v>148</v>
      </c>
      <c r="F65" s="7" t="s">
        <v>192</v>
      </c>
      <c r="G65" s="8" t="s">
        <v>254</v>
      </c>
      <c r="H65" s="7" t="s">
        <v>272</v>
      </c>
      <c r="I65" s="8" t="s">
        <v>340</v>
      </c>
      <c r="J65" s="7">
        <v>1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16</v>
      </c>
      <c r="D66" s="9" t="s">
        <v>82</v>
      </c>
      <c r="E66" s="10" t="s">
        <v>149</v>
      </c>
      <c r="F66" s="9" t="s">
        <v>193</v>
      </c>
      <c r="G66" s="10" t="s">
        <v>255</v>
      </c>
      <c r="H66" s="9" t="s">
        <v>295</v>
      </c>
      <c r="I66" s="10" t="s">
        <v>340</v>
      </c>
      <c r="J66" s="9">
        <v>1</v>
      </c>
      <c r="K66" s="9"/>
    </row>
    <row r="67" spans="1:11" ht="36.75" thickBot="1" x14ac:dyDescent="0.3">
      <c r="A67" s="1"/>
      <c r="B67" s="11">
        <f>ROW(B67) - ROW($B$2)</f>
        <v>65</v>
      </c>
      <c r="C67" s="12" t="s">
        <v>16</v>
      </c>
      <c r="D67" s="7" t="s">
        <v>83</v>
      </c>
      <c r="E67" s="8" t="s">
        <v>150</v>
      </c>
      <c r="F67" s="7" t="s">
        <v>194</v>
      </c>
      <c r="G67" s="8" t="s">
        <v>256</v>
      </c>
      <c r="H67" s="7" t="s">
        <v>296</v>
      </c>
      <c r="I67" s="8" t="s">
        <v>340</v>
      </c>
      <c r="J67" s="7">
        <v>1</v>
      </c>
      <c r="K67" s="7"/>
    </row>
    <row r="68" spans="1:11" ht="24.75" thickBot="1" x14ac:dyDescent="0.3">
      <c r="A68" s="1"/>
      <c r="B68" s="11">
        <f t="shared" si="0"/>
        <v>66</v>
      </c>
      <c r="C68" s="13" t="s">
        <v>16</v>
      </c>
      <c r="D68" s="9" t="s">
        <v>84</v>
      </c>
      <c r="E68" s="10" t="s">
        <v>151</v>
      </c>
      <c r="F68" s="9" t="s">
        <v>195</v>
      </c>
      <c r="G68" s="10" t="s">
        <v>257</v>
      </c>
      <c r="H68" s="9" t="s">
        <v>297</v>
      </c>
      <c r="I68" s="10" t="s">
        <v>340</v>
      </c>
      <c r="J68" s="9">
        <v>1</v>
      </c>
      <c r="K68" s="9"/>
    </row>
    <row r="69" spans="1:11" ht="36.75" thickBot="1" x14ac:dyDescent="0.3">
      <c r="A69" s="1"/>
      <c r="B69" s="11">
        <f>ROW(B69) - ROW($B$2)</f>
        <v>67</v>
      </c>
      <c r="C69" s="12" t="s">
        <v>17</v>
      </c>
      <c r="D69" s="7" t="s">
        <v>85</v>
      </c>
      <c r="E69" s="8" t="s">
        <v>152</v>
      </c>
      <c r="F69" s="7" t="s">
        <v>196</v>
      </c>
      <c r="G69" s="8" t="s">
        <v>258</v>
      </c>
      <c r="H69" s="7" t="s">
        <v>298</v>
      </c>
      <c r="I69" s="8" t="s">
        <v>334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2" t="s">
        <v>17</v>
      </c>
      <c r="D70" s="9" t="s">
        <v>86</v>
      </c>
      <c r="E70" s="10" t="s">
        <v>153</v>
      </c>
      <c r="F70" s="9" t="s">
        <v>197</v>
      </c>
      <c r="G70" s="10" t="s">
        <v>259</v>
      </c>
      <c r="H70" s="9" t="s">
        <v>299</v>
      </c>
      <c r="I70" s="10" t="s">
        <v>335</v>
      </c>
      <c r="J70" s="9">
        <v>1</v>
      </c>
      <c r="K7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2024-07-12T14:41:31Z</dcterms:modified>
</cp:coreProperties>
</file>